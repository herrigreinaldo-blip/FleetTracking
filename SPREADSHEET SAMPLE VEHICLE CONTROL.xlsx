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f7cf8fcfa60fa0/Desktop/"/>
    </mc:Choice>
  </mc:AlternateContent>
  <xr:revisionPtr revIDLastSave="0" documentId="8_{826C9D41-D910-4904-A55E-1BE376DA00F4}" xr6:coauthVersionLast="47" xr6:coauthVersionMax="47" xr10:uidLastSave="{00000000-0000-0000-0000-000000000000}"/>
  <bookViews>
    <workbookView xWindow="-108" yWindow="-108" windowWidth="23256" windowHeight="12456" xr2:uid="{51A0C6F7-4005-49E5-8ABD-CE85F9B7F176}"/>
  </bookViews>
  <sheets>
    <sheet name="Sheet1" sheetId="1" r:id="rId1"/>
    <sheet name="KR23XYZ" sheetId="3" r:id="rId2"/>
    <sheet name="DEPOSIT FOR THE VA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1" i="3" l="1"/>
  <c r="L60" i="3"/>
  <c r="O8" i="3" s="1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62" i="3" s="1"/>
  <c r="K8" i="3" s="1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AD24" i="2"/>
  <c r="AA24" i="2"/>
  <c r="X24" i="2"/>
  <c r="U24" i="2"/>
  <c r="R24" i="2"/>
  <c r="O24" i="2"/>
  <c r="L24" i="2"/>
  <c r="I24" i="2"/>
  <c r="F24" i="2"/>
  <c r="C24" i="2"/>
  <c r="AD13" i="2"/>
  <c r="AA13" i="2"/>
  <c r="X13" i="2"/>
  <c r="U13" i="2"/>
  <c r="R13" i="2"/>
  <c r="O13" i="2"/>
  <c r="L13" i="2"/>
  <c r="I13" i="2"/>
  <c r="F13" i="2"/>
  <c r="C13" i="2"/>
  <c r="R2" i="2"/>
</calcChain>
</file>

<file path=xl/sharedStrings.xml><?xml version="1.0" encoding="utf-8"?>
<sst xmlns="http://schemas.openxmlformats.org/spreadsheetml/2006/main" count="130" uniqueCount="66">
  <si>
    <t>DEPOSIT VANS</t>
  </si>
  <si>
    <t>VALOR TOTAL ARRECADADO</t>
  </si>
  <si>
    <t>RAFAEL</t>
  </si>
  <si>
    <t>AHMED</t>
  </si>
  <si>
    <t>THIAGO</t>
  </si>
  <si>
    <t>EMANUEL</t>
  </si>
  <si>
    <t>LUCAS</t>
  </si>
  <si>
    <t>RONALDO</t>
  </si>
  <si>
    <t>DATE</t>
  </si>
  <si>
    <t>AMOUNT</t>
  </si>
  <si>
    <t>TOTAL</t>
  </si>
  <si>
    <t>BRUNO</t>
  </si>
  <si>
    <t>DAVID</t>
  </si>
  <si>
    <t>ROGERIO</t>
  </si>
  <si>
    <t>HENRRY</t>
  </si>
  <si>
    <t>DANIEL K</t>
  </si>
  <si>
    <t>CONTROLE DE VEICULOS</t>
  </si>
  <si>
    <t>VAN REGISTRATION</t>
  </si>
  <si>
    <t>ADTIONAL INFORMATION</t>
  </si>
  <si>
    <t>MOT DUE</t>
  </si>
  <si>
    <t>PRICE</t>
  </si>
  <si>
    <t xml:space="preserve"> NEXT FULL SERVICE AT 139,000 MILES</t>
  </si>
  <si>
    <t>ROAD TAX DUE</t>
  </si>
  <si>
    <t>£360 PER YEAR</t>
  </si>
  <si>
    <t>DEPOSIT</t>
  </si>
  <si>
    <t>INSURANCE DUE</t>
  </si>
  <si>
    <t>£274.30 PER MONTH</t>
  </si>
  <si>
    <t>MONTHLY</t>
  </si>
  <si>
    <t>MAKE</t>
  </si>
  <si>
    <t>MERCEDES</t>
  </si>
  <si>
    <t>BREAKDOWN RECOVERY</t>
  </si>
  <si>
    <t>TOTAL SPENT</t>
  </si>
  <si>
    <t>LOAN LENGTH</t>
  </si>
  <si>
    <t>48 MONTHS</t>
  </si>
  <si>
    <t>MODEL</t>
  </si>
  <si>
    <t>SPRINTER</t>
  </si>
  <si>
    <t>LEFT TO PAY</t>
  </si>
  <si>
    <t>YEAR</t>
  </si>
  <si>
    <t>MILEAGE</t>
  </si>
  <si>
    <t>LOAN PAYMENT</t>
  </si>
  <si>
    <t>DRIVER LOG BOOK</t>
  </si>
  <si>
    <t>SERVICE CARIED</t>
  </si>
  <si>
    <t>LABOUR COST</t>
  </si>
  <si>
    <t>PART COST</t>
  </si>
  <si>
    <t>TOTAL COST</t>
  </si>
  <si>
    <t>OBSERVATION</t>
  </si>
  <si>
    <t>START DATE</t>
  </si>
  <si>
    <t>DRIVER</t>
  </si>
  <si>
    <t>END DATE</t>
  </si>
  <si>
    <t>REAR STEP</t>
  </si>
  <si>
    <t>EBAY</t>
  </si>
  <si>
    <t>3 YEARS ADDED WARANTY</t>
  </si>
  <si>
    <t>AUTOGUARD</t>
  </si>
  <si>
    <t>ROAD TAX</t>
  </si>
  <si>
    <t>FULL CLUTCH KIT CHANGED</t>
  </si>
  <si>
    <t>P&amp;D AUTOMOTIVE</t>
  </si>
  <si>
    <t>MOT</t>
  </si>
  <si>
    <t>SAM MOTORS</t>
  </si>
  <si>
    <t>FULL SERVICE</t>
  </si>
  <si>
    <t>ALL FILTERS CHANGE</t>
  </si>
  <si>
    <t>BRAKE CHANGE</t>
  </si>
  <si>
    <t>FRONT DISC AND PADS/REAR PADS</t>
  </si>
  <si>
    <t>KR23 XYZ</t>
  </si>
  <si>
    <t>INSURANCE WITH ADMIRAL  P771542333 (TULIO) NAMED DRIVERS: TULIO+DANIEL</t>
  </si>
  <si>
    <t>HERE I HAVE THE CONTROL FOR THE VEHICLES WE OWN. IF YOU COULD MAKE SOME NOTIFICATIONS WHEN A MOT OR SERVICE OR INSURANCE IS DUE TO WARN ME IN ADVANCE.</t>
  </si>
  <si>
    <t>IN EACH VAN I WOULD LIKE TO ADD ANY DOCUMENTATION SUCH AS; INSURANCE CERTIFICATE, MOT CERTIFICATE, V5, LEASING CONTRACTS AND OTHERS. AND WHEN ADDING SPENDING ON BANK ACCOUNT TO BE LINKED TO THE CORRECT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</si>
</sst>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43" formatCode="_-* #,##0.00_-;\-* #,##0.00_-;_-* &quot;-&quot;??_-;_-@_-"/>
    <numFmt numFmtId="164" formatCode="dd/mm/yyyy;@"/>
    <numFmt numFmtId="165" formatCode="dd/mm/yy;@"/>
    <numFmt numFmtId="166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8" fontId="2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64" fontId="0" fillId="0" borderId="5" xfId="0" applyNumberFormat="1" applyBorder="1"/>
    <xf numFmtId="8" fontId="0" fillId="0" borderId="5" xfId="0" applyNumberFormat="1" applyBorder="1"/>
    <xf numFmtId="0" fontId="0" fillId="0" borderId="4" xfId="0" applyBorder="1"/>
    <xf numFmtId="8" fontId="0" fillId="0" borderId="4" xfId="0" applyNumberFormat="1" applyBorder="1"/>
    <xf numFmtId="0" fontId="0" fillId="2" borderId="0" xfId="0" applyFill="1"/>
    <xf numFmtId="0" fontId="4" fillId="3" borderId="0" xfId="0" applyFont="1" applyFill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8" fontId="0" fillId="0" borderId="11" xfId="0" applyNumberFormat="1" applyBorder="1"/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/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left"/>
    </xf>
    <xf numFmtId="8" fontId="0" fillId="0" borderId="16" xfId="0" applyNumberFormat="1" applyBorder="1"/>
    <xf numFmtId="0" fontId="3" fillId="6" borderId="15" xfId="0" applyFont="1" applyFill="1" applyBorder="1"/>
    <xf numFmtId="165" fontId="3" fillId="6" borderId="16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14" fontId="0" fillId="0" borderId="19" xfId="0" applyNumberForma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right"/>
    </xf>
    <xf numFmtId="8" fontId="0" fillId="0" borderId="22" xfId="0" applyNumberFormat="1" applyBorder="1" applyAlignment="1">
      <alignment horizontal="center"/>
    </xf>
    <xf numFmtId="8" fontId="0" fillId="0" borderId="23" xfId="0" applyNumberFormat="1" applyBorder="1" applyAlignment="1">
      <alignment horizontal="center"/>
    </xf>
    <xf numFmtId="8" fontId="0" fillId="0" borderId="24" xfId="0" applyNumberFormat="1" applyBorder="1"/>
    <xf numFmtId="0" fontId="2" fillId="0" borderId="18" xfId="0" applyFont="1" applyBorder="1"/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</cellXfs>
  <cellStyles count="2">
    <cellStyle name="Comma" xfId="1" builtinId="3"/>
    <cellStyle name="Normal" xfId="0" builtinId="0"/>
  </cellStyles>
  <dxfs count="24">
    <dxf>
      <numFmt numFmtId="165" formatCode="dd/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984BF-FBDE-4C05-BBF5-0D20DBAFFAA8}" name="Table191821" displayName="Table191821" ref="C11:I62" totalsRowCount="1" dataDxfId="23">
  <autoFilter ref="C11:I61" xr:uid="{919CA529-1590-4FEB-B6CD-457D51D30EBF}"/>
  <tableColumns count="7">
    <tableColumn id="1" xr3:uid="{B21C4851-1468-47EE-874A-6456361A5D92}" name="DATE" dataDxfId="21" totalsRowDxfId="22"/>
    <tableColumn id="2" xr3:uid="{E7B2F981-2B3D-4CD1-B29A-E48C8398DD35}" name="MILEAGE" dataDxfId="19" totalsRowDxfId="20"/>
    <tableColumn id="3" xr3:uid="{06094AC2-1E63-4BF7-9202-1971AC74DCEB}" name="SERVICE CARIED" dataDxfId="17" totalsRowDxfId="18"/>
    <tableColumn id="4" xr3:uid="{AE3DD04A-5D6B-46D1-958C-76776D53BCFE}" name="LABOUR COST" dataDxfId="15" totalsRowDxfId="16"/>
    <tableColumn id="5" xr3:uid="{1EB92B1A-B4EE-4FB6-8D59-58B9430A47EA}" name="PART COST" dataDxfId="13" totalsRowDxfId="14"/>
    <tableColumn id="6" xr3:uid="{5339D315-65E7-469A-BC21-A1EAD1F01352}" name="TOTAL COST" totalsRowFunction="custom" dataDxfId="11" totalsRowDxfId="12">
      <calculatedColumnFormula>Table191821[[#This Row],[PART COST]]+Table191821[[#This Row],[LABOUR COST]]</calculatedColumnFormula>
      <totalsRowFormula>SUM(H12:H61)</totalsRowFormula>
    </tableColumn>
    <tableColumn id="7" xr3:uid="{87D6E38F-E1B4-40D8-8EA7-B00D282F29E7}" name="OBSERVATION" dataDxfId="9" totalsRowDxfId="10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837280-75E7-4CFC-AE8B-A3EC2A8A75E8}" name="Table2101922" displayName="Table2101922" ref="K11:L60" totalsRowCount="1" dataDxfId="8">
  <autoFilter ref="K11:L59" xr:uid="{18EFA180-A60B-4345-9C74-CAA00D026391}"/>
  <tableColumns count="2">
    <tableColumn id="1" xr3:uid="{43DD06D0-ECA1-4612-804D-107D0041D1A5}" name="DATE" dataDxfId="6" totalsRowDxfId="7"/>
    <tableColumn id="2" xr3:uid="{F8F63C32-16FC-43D4-A841-2E62C0A1C0D6}" name="AMOUNT" totalsRowFunction="custom" dataDxfId="4" totalsRowDxfId="5">
      <totalsRowFormula>SUM(L12:L59)</totalsRow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B696F2-2FF6-48B1-8E20-7EFC7A7787D8}" name="Table3112023" displayName="Table3112023" ref="N11:P13" totalsRowShown="0" dataDxfId="3">
  <autoFilter ref="N11:P13" xr:uid="{ECBB87F0-05F2-4F94-AF94-F0C081459ED0}"/>
  <tableColumns count="3">
    <tableColumn id="1" xr3:uid="{9001B652-DEAF-4E98-AFD8-103244BCEE0C}" name="START DATE" dataDxfId="2"/>
    <tableColumn id="2" xr3:uid="{7A4090C9-0E0D-4E5F-B8E5-23C0C933D6B1}" name="DRIVER" dataDxfId="1"/>
    <tableColumn id="3" xr3:uid="{2B9BDB13-B57D-498B-A53E-F38DEF233A1E}" name="END DA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CDA3-9F7B-42CC-B926-63FB91ACE08F}">
  <dimension ref="D5:S8"/>
  <sheetViews>
    <sheetView tabSelected="1" workbookViewId="0">
      <selection activeCell="D11" sqref="D11"/>
    </sheetView>
  </sheetViews>
  <sheetFormatPr defaultRowHeight="14.4" x14ac:dyDescent="0.3"/>
  <sheetData>
    <row r="5" spans="4:19" x14ac:dyDescent="0.3">
      <c r="D5" t="s">
        <v>64</v>
      </c>
    </row>
    <row r="7" spans="4:19" x14ac:dyDescent="0.3">
      <c r="D7" s="55" t="s">
        <v>65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4:19" x14ac:dyDescent="0.3"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</sheetData>
  <mergeCells count="1">
    <mergeCell ref="D7:S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F759-D2C2-4112-A35B-00E329B690AA}">
  <dimension ref="B1:Q77"/>
  <sheetViews>
    <sheetView workbookViewId="0">
      <pane ySplit="11" topLeftCell="A12" activePane="bottomLeft" state="frozen"/>
      <selection activeCell="G9" sqref="G9"/>
      <selection pane="bottomLeft" activeCell="H7" sqref="H7:I7"/>
    </sheetView>
  </sheetViews>
  <sheetFormatPr defaultRowHeight="14.4" x14ac:dyDescent="0.3"/>
  <cols>
    <col min="1" max="1" width="1.77734375" customWidth="1"/>
    <col min="2" max="2" width="0.88671875" customWidth="1"/>
    <col min="3" max="3" width="10.44140625" bestFit="1" customWidth="1"/>
    <col min="4" max="4" width="11.109375" customWidth="1"/>
    <col min="5" max="5" width="42.88671875" customWidth="1"/>
    <col min="6" max="6" width="14.5546875" customWidth="1"/>
    <col min="7" max="7" width="12.33203125" customWidth="1"/>
    <col min="8" max="8" width="12.88671875" customWidth="1"/>
    <col min="9" max="9" width="28.33203125" customWidth="1"/>
    <col min="10" max="10" width="6.33203125" customWidth="1"/>
    <col min="12" max="12" width="11.109375" customWidth="1"/>
    <col min="13" max="13" width="4.33203125" customWidth="1"/>
    <col min="14" max="14" width="12.5546875" customWidth="1"/>
    <col min="15" max="15" width="13.44140625" customWidth="1"/>
    <col min="16" max="16" width="11" customWidth="1"/>
    <col min="17" max="17" width="0.88671875" customWidth="1"/>
  </cols>
  <sheetData>
    <row r="1" spans="2:17" ht="10.199999999999999" customHeight="1" x14ac:dyDescent="0.3"/>
    <row r="2" spans="2:17" ht="5.4" customHeight="1" x14ac:dyDescent="0.3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ht="18.600000000000001" thickBot="1" x14ac:dyDescent="0.4">
      <c r="B3" s="12"/>
      <c r="C3" s="13" t="s">
        <v>16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2"/>
    </row>
    <row r="4" spans="2:17" x14ac:dyDescent="0.3">
      <c r="B4" s="12"/>
      <c r="C4" s="14" t="s">
        <v>17</v>
      </c>
      <c r="D4" s="15"/>
      <c r="E4" s="16" t="s">
        <v>18</v>
      </c>
      <c r="F4" s="17" t="s">
        <v>19</v>
      </c>
      <c r="G4" s="18">
        <v>46580</v>
      </c>
      <c r="H4" s="19"/>
      <c r="I4" s="19"/>
      <c r="N4" s="17" t="s">
        <v>20</v>
      </c>
      <c r="O4" s="20">
        <v>24600</v>
      </c>
      <c r="Q4" s="12"/>
    </row>
    <row r="5" spans="2:17" ht="15.6" x14ac:dyDescent="0.3">
      <c r="B5" s="12"/>
      <c r="C5" s="21" t="s">
        <v>62</v>
      </c>
      <c r="D5" s="22"/>
      <c r="E5" s="23" t="s">
        <v>21</v>
      </c>
      <c r="F5" s="24" t="s">
        <v>22</v>
      </c>
      <c r="G5" s="25">
        <v>46478</v>
      </c>
      <c r="H5" s="26" t="s">
        <v>23</v>
      </c>
      <c r="I5" s="26"/>
      <c r="N5" s="24" t="s">
        <v>24</v>
      </c>
      <c r="O5" s="27">
        <v>5000</v>
      </c>
      <c r="Q5" s="12"/>
    </row>
    <row r="6" spans="2:17" ht="16.2" thickBot="1" x14ac:dyDescent="0.35">
      <c r="B6" s="12"/>
      <c r="C6" s="28" t="s">
        <v>8</v>
      </c>
      <c r="D6" s="29">
        <v>46122</v>
      </c>
      <c r="E6" s="30"/>
      <c r="F6" s="31" t="s">
        <v>25</v>
      </c>
      <c r="G6" s="32">
        <v>46492</v>
      </c>
      <c r="H6" s="26" t="s">
        <v>26</v>
      </c>
      <c r="I6" s="26"/>
      <c r="N6" s="24" t="s">
        <v>27</v>
      </c>
      <c r="O6" s="27">
        <v>456.8</v>
      </c>
      <c r="Q6" s="12"/>
    </row>
    <row r="7" spans="2:17" ht="16.2" thickBot="1" x14ac:dyDescent="0.35">
      <c r="B7" s="12"/>
      <c r="C7" s="33" t="s">
        <v>28</v>
      </c>
      <c r="D7" s="34" t="s">
        <v>29</v>
      </c>
      <c r="E7" s="30"/>
      <c r="F7" s="35" t="s">
        <v>30</v>
      </c>
      <c r="G7" s="36"/>
      <c r="H7" s="6"/>
      <c r="I7" s="6"/>
      <c r="K7" s="37" t="s">
        <v>31</v>
      </c>
      <c r="L7" s="38"/>
      <c r="N7" s="24" t="s">
        <v>32</v>
      </c>
      <c r="O7" s="39" t="s">
        <v>33</v>
      </c>
      <c r="Q7" s="12"/>
    </row>
    <row r="8" spans="2:17" ht="16.2" thickBot="1" x14ac:dyDescent="0.35">
      <c r="B8" s="12"/>
      <c r="C8" s="33" t="s">
        <v>34</v>
      </c>
      <c r="D8" s="34" t="s">
        <v>35</v>
      </c>
      <c r="E8" s="23" t="s">
        <v>63</v>
      </c>
      <c r="K8" s="40">
        <f>Table191821[[#Totals],[TOTAL COST]]+Table2101922[[#Totals],[AMOUNT]]</f>
        <v>7202.08</v>
      </c>
      <c r="L8" s="41"/>
      <c r="N8" s="31" t="s">
        <v>36</v>
      </c>
      <c r="O8" s="42">
        <f>21925.7-Table2101922[[#Totals],[AMOUNT]]</f>
        <v>19184.900000000001</v>
      </c>
      <c r="Q8" s="12"/>
    </row>
    <row r="9" spans="2:17" ht="15.6" x14ac:dyDescent="0.3">
      <c r="B9" s="12"/>
      <c r="C9" s="33" t="s">
        <v>37</v>
      </c>
      <c r="D9" s="34">
        <v>2023</v>
      </c>
      <c r="E9" s="30"/>
      <c r="Q9" s="12"/>
    </row>
    <row r="10" spans="2:17" ht="16.2" thickBot="1" x14ac:dyDescent="0.35">
      <c r="B10" s="12"/>
      <c r="C10" s="43" t="s">
        <v>38</v>
      </c>
      <c r="D10" s="44">
        <v>117000</v>
      </c>
      <c r="E10" s="45"/>
      <c r="K10" s="46" t="s">
        <v>39</v>
      </c>
      <c r="L10" s="47"/>
      <c r="N10" s="46" t="s">
        <v>40</v>
      </c>
      <c r="O10" s="48"/>
      <c r="P10" s="47"/>
      <c r="Q10" s="12"/>
    </row>
    <row r="11" spans="2:17" x14ac:dyDescent="0.3">
      <c r="B11" s="12"/>
      <c r="C11" t="s">
        <v>8</v>
      </c>
      <c r="D11" s="49" t="s">
        <v>38</v>
      </c>
      <c r="E11" s="50" t="s">
        <v>41</v>
      </c>
      <c r="F11" t="s">
        <v>42</v>
      </c>
      <c r="G11" t="s">
        <v>43</v>
      </c>
      <c r="H11" t="s">
        <v>44</v>
      </c>
      <c r="I11" t="s">
        <v>45</v>
      </c>
      <c r="K11" t="s">
        <v>8</v>
      </c>
      <c r="L11" t="s">
        <v>9</v>
      </c>
      <c r="N11" t="s">
        <v>46</v>
      </c>
      <c r="O11" s="50" t="s">
        <v>47</v>
      </c>
      <c r="P11" t="s">
        <v>48</v>
      </c>
      <c r="Q11" s="12"/>
    </row>
    <row r="12" spans="2:17" x14ac:dyDescent="0.3">
      <c r="B12" s="12"/>
      <c r="C12" s="51">
        <v>46130</v>
      </c>
      <c r="D12" s="52">
        <v>117500</v>
      </c>
      <c r="E12" s="53" t="s">
        <v>49</v>
      </c>
      <c r="F12" s="54"/>
      <c r="G12" s="54">
        <v>150</v>
      </c>
      <c r="H12" s="54">
        <f>Table191821[[#This Row],[PART COST]]+Table191821[[#This Row],[LABOUR COST]]</f>
        <v>150</v>
      </c>
      <c r="I12" s="53" t="s">
        <v>50</v>
      </c>
      <c r="K12" s="51">
        <v>46157</v>
      </c>
      <c r="L12" s="54">
        <v>456.8</v>
      </c>
      <c r="N12" s="51">
        <v>46128</v>
      </c>
      <c r="O12" s="53" t="s">
        <v>11</v>
      </c>
      <c r="P12" s="51">
        <v>46128</v>
      </c>
      <c r="Q12" s="12"/>
    </row>
    <row r="13" spans="2:17" x14ac:dyDescent="0.3">
      <c r="B13" s="12"/>
      <c r="C13" s="51">
        <v>46123</v>
      </c>
      <c r="D13" s="52">
        <v>117000</v>
      </c>
      <c r="E13" s="53" t="s">
        <v>51</v>
      </c>
      <c r="F13" s="54"/>
      <c r="G13" s="54">
        <v>1298.98</v>
      </c>
      <c r="H13" s="54">
        <f>Table191821[[#This Row],[PART COST]]+Table191821[[#This Row],[LABOUR COST]]</f>
        <v>1298.98</v>
      </c>
      <c r="I13" s="53" t="s">
        <v>52</v>
      </c>
      <c r="K13" s="51">
        <v>46189</v>
      </c>
      <c r="L13" s="54">
        <v>456.8</v>
      </c>
      <c r="N13" s="51">
        <v>46128</v>
      </c>
      <c r="O13" s="53" t="s">
        <v>15</v>
      </c>
      <c r="P13" s="51"/>
      <c r="Q13" s="12"/>
    </row>
    <row r="14" spans="2:17" x14ac:dyDescent="0.3">
      <c r="B14" s="12"/>
      <c r="C14" s="51">
        <v>46123</v>
      </c>
      <c r="D14" s="52">
        <v>117000</v>
      </c>
      <c r="E14" s="53" t="s">
        <v>53</v>
      </c>
      <c r="F14" s="54"/>
      <c r="G14" s="54">
        <v>360</v>
      </c>
      <c r="H14" s="54">
        <f>Table191821[[#This Row],[PART COST]]+Table191821[[#This Row],[LABOUR COST]]</f>
        <v>360</v>
      </c>
      <c r="I14" s="53"/>
      <c r="K14" s="51">
        <v>46219</v>
      </c>
      <c r="L14" s="54">
        <v>456.8</v>
      </c>
      <c r="N14" s="53"/>
      <c r="O14" s="53"/>
      <c r="P14" s="53"/>
      <c r="Q14" s="12"/>
    </row>
    <row r="15" spans="2:17" x14ac:dyDescent="0.3">
      <c r="B15" s="12"/>
      <c r="C15" s="51">
        <v>46156</v>
      </c>
      <c r="D15" s="52">
        <v>120071</v>
      </c>
      <c r="E15" s="53" t="s">
        <v>54</v>
      </c>
      <c r="F15" s="54">
        <v>464.4</v>
      </c>
      <c r="G15" s="54">
        <v>1585.14</v>
      </c>
      <c r="H15" s="54">
        <f>Table191821[[#This Row],[PART COST]]+Table191821[[#This Row],[LABOUR COST]]</f>
        <v>2049.54</v>
      </c>
      <c r="I15" s="53" t="s">
        <v>55</v>
      </c>
      <c r="K15" s="51">
        <v>46250</v>
      </c>
      <c r="L15" s="54">
        <v>456.8</v>
      </c>
      <c r="N15" s="53"/>
      <c r="O15" s="53"/>
      <c r="P15" s="53"/>
      <c r="Q15" s="12"/>
    </row>
    <row r="16" spans="2:17" x14ac:dyDescent="0.3">
      <c r="B16" s="12"/>
      <c r="C16" s="51">
        <v>46216</v>
      </c>
      <c r="D16" s="52">
        <v>125664</v>
      </c>
      <c r="E16" s="53" t="s">
        <v>56</v>
      </c>
      <c r="F16" s="54">
        <v>150</v>
      </c>
      <c r="G16" s="54"/>
      <c r="H16" s="54">
        <f>Table191821[[#This Row],[PART COST]]+Table191821[[#This Row],[LABOUR COST]]</f>
        <v>150</v>
      </c>
      <c r="I16" s="53" t="s">
        <v>57</v>
      </c>
      <c r="K16" s="51">
        <v>46281</v>
      </c>
      <c r="L16" s="54">
        <v>456.8</v>
      </c>
      <c r="N16" s="53"/>
      <c r="O16" s="53"/>
      <c r="P16" s="53"/>
      <c r="Q16" s="12"/>
    </row>
    <row r="17" spans="2:17" x14ac:dyDescent="0.3">
      <c r="B17" s="12"/>
      <c r="C17" s="51">
        <v>46271</v>
      </c>
      <c r="D17" s="52">
        <v>129500</v>
      </c>
      <c r="E17" s="53" t="s">
        <v>58</v>
      </c>
      <c r="F17" s="54"/>
      <c r="G17" s="54">
        <v>194.3</v>
      </c>
      <c r="H17" s="54">
        <f>Table191821[[#This Row],[PART COST]]+Table191821[[#This Row],[LABOUR COST]]</f>
        <v>194.3</v>
      </c>
      <c r="I17" s="53" t="s">
        <v>59</v>
      </c>
      <c r="K17" s="51">
        <v>46311</v>
      </c>
      <c r="L17" s="54">
        <v>456.8</v>
      </c>
      <c r="N17" s="53"/>
      <c r="O17" s="53"/>
      <c r="P17" s="53"/>
      <c r="Q17" s="12"/>
    </row>
    <row r="18" spans="2:17" x14ac:dyDescent="0.3">
      <c r="B18" s="12"/>
      <c r="C18" s="51">
        <v>46272</v>
      </c>
      <c r="D18" s="52">
        <v>129500</v>
      </c>
      <c r="E18" s="53" t="s">
        <v>60</v>
      </c>
      <c r="F18" s="54"/>
      <c r="G18" s="54">
        <v>258.45999999999998</v>
      </c>
      <c r="H18" s="54">
        <f>Table191821[[#This Row],[PART COST]]+Table191821[[#This Row],[LABOUR COST]]</f>
        <v>258.45999999999998</v>
      </c>
      <c r="I18" s="53" t="s">
        <v>61</v>
      </c>
      <c r="K18" s="51"/>
      <c r="L18" s="54"/>
      <c r="N18" s="53"/>
      <c r="O18" s="53"/>
      <c r="P18" s="53"/>
      <c r="Q18" s="12"/>
    </row>
    <row r="19" spans="2:17" x14ac:dyDescent="0.3">
      <c r="B19" s="12"/>
      <c r="C19" s="51"/>
      <c r="D19" s="52"/>
      <c r="E19" s="53"/>
      <c r="F19" s="54"/>
      <c r="G19" s="54"/>
      <c r="H19" s="54">
        <f>Table191821[[#This Row],[PART COST]]+Table191821[[#This Row],[LABOUR COST]]</f>
        <v>0</v>
      </c>
      <c r="I19" s="53"/>
      <c r="K19" s="51"/>
      <c r="L19" s="54"/>
      <c r="N19" s="53"/>
      <c r="O19" s="53"/>
      <c r="P19" s="53"/>
      <c r="Q19" s="12"/>
    </row>
    <row r="20" spans="2:17" x14ac:dyDescent="0.3">
      <c r="B20" s="12"/>
      <c r="C20" s="51"/>
      <c r="D20" s="52"/>
      <c r="E20" s="53"/>
      <c r="F20" s="54"/>
      <c r="G20" s="54"/>
      <c r="H20" s="54">
        <f>Table191821[[#This Row],[PART COST]]+Table191821[[#This Row],[LABOUR COST]]</f>
        <v>0</v>
      </c>
      <c r="I20" s="53"/>
      <c r="K20" s="51"/>
      <c r="L20" s="54"/>
      <c r="N20" s="53"/>
      <c r="O20" s="53"/>
      <c r="P20" s="53"/>
      <c r="Q20" s="12"/>
    </row>
    <row r="21" spans="2:17" x14ac:dyDescent="0.3">
      <c r="B21" s="12"/>
      <c r="C21" s="51"/>
      <c r="D21" s="52"/>
      <c r="E21" s="53"/>
      <c r="F21" s="54"/>
      <c r="G21" s="54"/>
      <c r="H21" s="54">
        <f>Table191821[[#This Row],[PART COST]]+Table191821[[#This Row],[LABOUR COST]]</f>
        <v>0</v>
      </c>
      <c r="I21" s="53"/>
      <c r="K21" s="51"/>
      <c r="L21" s="54"/>
      <c r="N21" s="53"/>
      <c r="O21" s="53"/>
      <c r="P21" s="53"/>
      <c r="Q21" s="12"/>
    </row>
    <row r="22" spans="2:17" x14ac:dyDescent="0.3">
      <c r="B22" s="12"/>
      <c r="C22" s="51"/>
      <c r="D22" s="52"/>
      <c r="E22" s="53"/>
      <c r="F22" s="54"/>
      <c r="G22" s="54"/>
      <c r="H22" s="54">
        <f>Table191821[[#This Row],[PART COST]]+Table191821[[#This Row],[LABOUR COST]]</f>
        <v>0</v>
      </c>
      <c r="I22" s="53"/>
      <c r="K22" s="51"/>
      <c r="L22" s="54"/>
      <c r="N22" s="53"/>
      <c r="O22" s="53"/>
      <c r="P22" s="53"/>
      <c r="Q22" s="12"/>
    </row>
    <row r="23" spans="2:17" x14ac:dyDescent="0.3">
      <c r="B23" s="12"/>
      <c r="C23" s="51"/>
      <c r="D23" s="52"/>
      <c r="E23" s="53"/>
      <c r="F23" s="54"/>
      <c r="G23" s="54"/>
      <c r="H23" s="54">
        <f>Table191821[[#This Row],[PART COST]]+Table191821[[#This Row],[LABOUR COST]]</f>
        <v>0</v>
      </c>
      <c r="I23" s="53"/>
      <c r="K23" s="51"/>
      <c r="L23" s="54"/>
      <c r="N23" s="53"/>
      <c r="O23" s="53"/>
      <c r="P23" s="53"/>
      <c r="Q23" s="12"/>
    </row>
    <row r="24" spans="2:17" x14ac:dyDescent="0.3">
      <c r="B24" s="12"/>
      <c r="C24" s="51"/>
      <c r="D24" s="52"/>
      <c r="E24" s="53"/>
      <c r="F24" s="54"/>
      <c r="G24" s="54"/>
      <c r="H24" s="54">
        <f>Table191821[[#This Row],[PART COST]]+Table191821[[#This Row],[LABOUR COST]]</f>
        <v>0</v>
      </c>
      <c r="I24" s="53"/>
      <c r="K24" s="51"/>
      <c r="L24" s="54"/>
      <c r="N24" s="53"/>
      <c r="O24" s="53"/>
      <c r="P24" s="53"/>
      <c r="Q24" s="12"/>
    </row>
    <row r="25" spans="2:17" x14ac:dyDescent="0.3">
      <c r="B25" s="12"/>
      <c r="C25" s="51"/>
      <c r="D25" s="52"/>
      <c r="E25" s="53"/>
      <c r="F25" s="54"/>
      <c r="G25" s="54"/>
      <c r="H25" s="54">
        <f>Table191821[[#This Row],[PART COST]]+Table191821[[#This Row],[LABOUR COST]]</f>
        <v>0</v>
      </c>
      <c r="I25" s="53"/>
      <c r="K25" s="51"/>
      <c r="L25" s="54"/>
      <c r="N25" s="53"/>
      <c r="O25" s="53"/>
      <c r="P25" s="53"/>
      <c r="Q25" s="12"/>
    </row>
    <row r="26" spans="2:17" x14ac:dyDescent="0.3">
      <c r="B26" s="12"/>
      <c r="C26" s="51"/>
      <c r="D26" s="52"/>
      <c r="E26" s="53"/>
      <c r="F26" s="54"/>
      <c r="G26" s="54"/>
      <c r="H26" s="54">
        <f>Table191821[[#This Row],[PART COST]]+Table191821[[#This Row],[LABOUR COST]]</f>
        <v>0</v>
      </c>
      <c r="I26" s="53"/>
      <c r="K26" s="51"/>
      <c r="L26" s="54"/>
      <c r="N26" s="53"/>
      <c r="O26" s="53"/>
      <c r="P26" s="53"/>
      <c r="Q26" s="12"/>
    </row>
    <row r="27" spans="2:17" x14ac:dyDescent="0.3">
      <c r="B27" s="12"/>
      <c r="C27" s="51"/>
      <c r="D27" s="52"/>
      <c r="E27" s="53"/>
      <c r="F27" s="54"/>
      <c r="G27" s="54"/>
      <c r="H27" s="54">
        <f>Table191821[[#This Row],[PART COST]]+Table191821[[#This Row],[LABOUR COST]]</f>
        <v>0</v>
      </c>
      <c r="I27" s="53"/>
      <c r="K27" s="51"/>
      <c r="L27" s="54"/>
      <c r="N27" s="53"/>
      <c r="O27" s="53"/>
      <c r="P27" s="53"/>
      <c r="Q27" s="12"/>
    </row>
    <row r="28" spans="2:17" x14ac:dyDescent="0.3">
      <c r="B28" s="12"/>
      <c r="C28" s="51"/>
      <c r="D28" s="52"/>
      <c r="E28" s="53"/>
      <c r="F28" s="54"/>
      <c r="G28" s="54"/>
      <c r="H28" s="54">
        <f>Table191821[[#This Row],[PART COST]]+Table191821[[#This Row],[LABOUR COST]]</f>
        <v>0</v>
      </c>
      <c r="I28" s="53"/>
      <c r="K28" s="51"/>
      <c r="L28" s="54"/>
      <c r="N28" s="53"/>
      <c r="O28" s="53"/>
      <c r="P28" s="53"/>
      <c r="Q28" s="12"/>
    </row>
    <row r="29" spans="2:17" x14ac:dyDescent="0.3">
      <c r="B29" s="12"/>
      <c r="C29" s="51"/>
      <c r="D29" s="52"/>
      <c r="E29" s="53"/>
      <c r="F29" s="54"/>
      <c r="G29" s="54"/>
      <c r="H29" s="54">
        <f>Table191821[[#This Row],[PART COST]]+Table191821[[#This Row],[LABOUR COST]]</f>
        <v>0</v>
      </c>
      <c r="I29" s="53"/>
      <c r="K29" s="51"/>
      <c r="L29" s="54"/>
      <c r="N29" s="53"/>
      <c r="O29" s="53"/>
      <c r="P29" s="53"/>
      <c r="Q29" s="12"/>
    </row>
    <row r="30" spans="2:17" x14ac:dyDescent="0.3">
      <c r="B30" s="12"/>
      <c r="C30" s="51"/>
      <c r="D30" s="52"/>
      <c r="E30" s="53"/>
      <c r="F30" s="54"/>
      <c r="G30" s="54"/>
      <c r="H30" s="54">
        <f>Table191821[[#This Row],[PART COST]]+Table191821[[#This Row],[LABOUR COST]]</f>
        <v>0</v>
      </c>
      <c r="I30" s="53"/>
      <c r="K30" s="51"/>
      <c r="L30" s="54"/>
      <c r="N30" s="53"/>
      <c r="O30" s="53"/>
      <c r="P30" s="53"/>
      <c r="Q30" s="12"/>
    </row>
    <row r="31" spans="2:17" x14ac:dyDescent="0.3">
      <c r="B31" s="12"/>
      <c r="C31" s="51"/>
      <c r="D31" s="52"/>
      <c r="E31" s="53"/>
      <c r="F31" s="54"/>
      <c r="G31" s="54"/>
      <c r="H31" s="54">
        <f>Table191821[[#This Row],[PART COST]]+Table191821[[#This Row],[LABOUR COST]]</f>
        <v>0</v>
      </c>
      <c r="I31" s="53"/>
      <c r="K31" s="51"/>
      <c r="L31" s="54"/>
      <c r="N31" s="53"/>
      <c r="O31" s="53"/>
      <c r="P31" s="53"/>
      <c r="Q31" s="12"/>
    </row>
    <row r="32" spans="2:17" x14ac:dyDescent="0.3">
      <c r="B32" s="12"/>
      <c r="C32" s="51"/>
      <c r="D32" s="52"/>
      <c r="E32" s="53"/>
      <c r="F32" s="54"/>
      <c r="G32" s="54"/>
      <c r="H32" s="54">
        <f>Table191821[[#This Row],[PART COST]]+Table191821[[#This Row],[LABOUR COST]]</f>
        <v>0</v>
      </c>
      <c r="I32" s="53"/>
      <c r="K32" s="51"/>
      <c r="L32" s="54"/>
      <c r="N32" s="53"/>
      <c r="O32" s="53"/>
      <c r="P32" s="53"/>
      <c r="Q32" s="12"/>
    </row>
    <row r="33" spans="2:17" x14ac:dyDescent="0.3">
      <c r="B33" s="12"/>
      <c r="C33" s="51"/>
      <c r="D33" s="52"/>
      <c r="E33" s="53"/>
      <c r="F33" s="54"/>
      <c r="G33" s="54"/>
      <c r="H33" s="54">
        <f>Table191821[[#This Row],[PART COST]]+Table191821[[#This Row],[LABOUR COST]]</f>
        <v>0</v>
      </c>
      <c r="I33" s="53"/>
      <c r="K33" s="51"/>
      <c r="L33" s="54"/>
      <c r="N33" s="53"/>
      <c r="O33" s="53"/>
      <c r="P33" s="53"/>
      <c r="Q33" s="12"/>
    </row>
    <row r="34" spans="2:17" x14ac:dyDescent="0.3">
      <c r="B34" s="12"/>
      <c r="C34" s="51"/>
      <c r="D34" s="52"/>
      <c r="E34" s="53"/>
      <c r="F34" s="54"/>
      <c r="G34" s="54"/>
      <c r="H34" s="54">
        <f>Table191821[[#This Row],[PART COST]]+Table191821[[#This Row],[LABOUR COST]]</f>
        <v>0</v>
      </c>
      <c r="I34" s="53"/>
      <c r="K34" s="51"/>
      <c r="L34" s="54"/>
      <c r="N34" s="53"/>
      <c r="O34" s="53"/>
      <c r="P34" s="53"/>
      <c r="Q34" s="12"/>
    </row>
    <row r="35" spans="2:17" x14ac:dyDescent="0.3">
      <c r="B35" s="12"/>
      <c r="C35" s="51"/>
      <c r="D35" s="52"/>
      <c r="E35" s="53"/>
      <c r="F35" s="54"/>
      <c r="G35" s="54"/>
      <c r="H35" s="54">
        <f>Table191821[[#This Row],[PART COST]]+Table191821[[#This Row],[LABOUR COST]]</f>
        <v>0</v>
      </c>
      <c r="I35" s="53"/>
      <c r="K35" s="51"/>
      <c r="L35" s="54"/>
      <c r="N35" s="53"/>
      <c r="O35" s="53"/>
      <c r="P35" s="53"/>
      <c r="Q35" s="12"/>
    </row>
    <row r="36" spans="2:17" x14ac:dyDescent="0.3">
      <c r="B36" s="12"/>
      <c r="C36" s="51"/>
      <c r="D36" s="52"/>
      <c r="E36" s="53"/>
      <c r="F36" s="54"/>
      <c r="G36" s="54"/>
      <c r="H36" s="54">
        <f>Table191821[[#This Row],[PART COST]]+Table191821[[#This Row],[LABOUR COST]]</f>
        <v>0</v>
      </c>
      <c r="I36" s="53"/>
      <c r="K36" s="51"/>
      <c r="L36" s="54"/>
      <c r="N36" s="53"/>
      <c r="O36" s="53"/>
      <c r="P36" s="53"/>
      <c r="Q36" s="12"/>
    </row>
    <row r="37" spans="2:17" x14ac:dyDescent="0.3">
      <c r="B37" s="12"/>
      <c r="C37" s="51"/>
      <c r="D37" s="52"/>
      <c r="E37" s="53"/>
      <c r="F37" s="54"/>
      <c r="G37" s="54"/>
      <c r="H37" s="54">
        <f>Table191821[[#This Row],[PART COST]]+Table191821[[#This Row],[LABOUR COST]]</f>
        <v>0</v>
      </c>
      <c r="I37" s="53"/>
      <c r="K37" s="51"/>
      <c r="L37" s="54"/>
      <c r="N37" s="53"/>
      <c r="O37" s="53"/>
      <c r="P37" s="53"/>
      <c r="Q37" s="12"/>
    </row>
    <row r="38" spans="2:17" x14ac:dyDescent="0.3">
      <c r="B38" s="12"/>
      <c r="C38" s="51"/>
      <c r="D38" s="52"/>
      <c r="E38" s="53"/>
      <c r="F38" s="54"/>
      <c r="G38" s="54"/>
      <c r="H38" s="54">
        <f>Table191821[[#This Row],[PART COST]]+Table191821[[#This Row],[LABOUR COST]]</f>
        <v>0</v>
      </c>
      <c r="I38" s="53"/>
      <c r="K38" s="51"/>
      <c r="L38" s="54"/>
      <c r="N38" s="53"/>
      <c r="O38" s="53"/>
      <c r="P38" s="53"/>
      <c r="Q38" s="12"/>
    </row>
    <row r="39" spans="2:17" x14ac:dyDescent="0.3">
      <c r="B39" s="12"/>
      <c r="C39" s="51"/>
      <c r="D39" s="52"/>
      <c r="E39" s="53"/>
      <c r="F39" s="54"/>
      <c r="G39" s="54"/>
      <c r="H39" s="54">
        <f>Table191821[[#This Row],[PART COST]]+Table191821[[#This Row],[LABOUR COST]]</f>
        <v>0</v>
      </c>
      <c r="I39" s="53"/>
      <c r="K39" s="51"/>
      <c r="L39" s="54"/>
      <c r="N39" s="53"/>
      <c r="O39" s="53"/>
      <c r="P39" s="53"/>
      <c r="Q39" s="12"/>
    </row>
    <row r="40" spans="2:17" x14ac:dyDescent="0.3">
      <c r="B40" s="12"/>
      <c r="C40" s="51"/>
      <c r="D40" s="52"/>
      <c r="E40" s="53"/>
      <c r="F40" s="54"/>
      <c r="G40" s="54"/>
      <c r="H40" s="54">
        <f>Table191821[[#This Row],[PART COST]]+Table191821[[#This Row],[LABOUR COST]]</f>
        <v>0</v>
      </c>
      <c r="I40" s="53"/>
      <c r="K40" s="51"/>
      <c r="L40" s="54"/>
      <c r="N40" s="53"/>
      <c r="O40" s="53"/>
      <c r="P40" s="53"/>
      <c r="Q40" s="12"/>
    </row>
    <row r="41" spans="2:17" x14ac:dyDescent="0.3">
      <c r="B41" s="12"/>
      <c r="C41" s="51"/>
      <c r="D41" s="52"/>
      <c r="E41" s="53"/>
      <c r="F41" s="54"/>
      <c r="G41" s="54"/>
      <c r="H41" s="54">
        <f>Table191821[[#This Row],[PART COST]]+Table191821[[#This Row],[LABOUR COST]]</f>
        <v>0</v>
      </c>
      <c r="I41" s="53"/>
      <c r="K41" s="51"/>
      <c r="L41" s="54"/>
      <c r="N41" s="53"/>
      <c r="O41" s="53"/>
      <c r="P41" s="53"/>
      <c r="Q41" s="12"/>
    </row>
    <row r="42" spans="2:17" x14ac:dyDescent="0.3">
      <c r="B42" s="12"/>
      <c r="C42" s="51"/>
      <c r="D42" s="52"/>
      <c r="E42" s="53"/>
      <c r="F42" s="54"/>
      <c r="G42" s="54"/>
      <c r="H42" s="54">
        <f>Table191821[[#This Row],[PART COST]]+Table191821[[#This Row],[LABOUR COST]]</f>
        <v>0</v>
      </c>
      <c r="I42" s="53"/>
      <c r="K42" s="51"/>
      <c r="L42" s="54"/>
      <c r="N42" s="53"/>
      <c r="O42" s="53"/>
      <c r="P42" s="53"/>
      <c r="Q42" s="12"/>
    </row>
    <row r="43" spans="2:17" x14ac:dyDescent="0.3">
      <c r="B43" s="12"/>
      <c r="C43" s="51"/>
      <c r="D43" s="52"/>
      <c r="E43" s="53"/>
      <c r="F43" s="54"/>
      <c r="G43" s="54"/>
      <c r="H43" s="54">
        <f>Table191821[[#This Row],[PART COST]]+Table191821[[#This Row],[LABOUR COST]]</f>
        <v>0</v>
      </c>
      <c r="I43" s="53"/>
      <c r="K43" s="51"/>
      <c r="L43" s="54"/>
      <c r="N43" s="53"/>
      <c r="O43" s="53"/>
      <c r="P43" s="53"/>
      <c r="Q43" s="12"/>
    </row>
    <row r="44" spans="2:17" x14ac:dyDescent="0.3">
      <c r="B44" s="12"/>
      <c r="C44" s="51"/>
      <c r="D44" s="52"/>
      <c r="E44" s="53"/>
      <c r="F44" s="54"/>
      <c r="G44" s="54"/>
      <c r="H44" s="54">
        <f>Table191821[[#This Row],[PART COST]]+Table191821[[#This Row],[LABOUR COST]]</f>
        <v>0</v>
      </c>
      <c r="I44" s="53"/>
      <c r="K44" s="51"/>
      <c r="L44" s="54"/>
      <c r="N44" s="53"/>
      <c r="O44" s="53"/>
      <c r="P44" s="53"/>
      <c r="Q44" s="12"/>
    </row>
    <row r="45" spans="2:17" x14ac:dyDescent="0.3">
      <c r="B45" s="12"/>
      <c r="C45" s="51"/>
      <c r="D45" s="52"/>
      <c r="E45" s="53"/>
      <c r="F45" s="54"/>
      <c r="G45" s="54"/>
      <c r="H45" s="54">
        <f>Table191821[[#This Row],[PART COST]]+Table191821[[#This Row],[LABOUR COST]]</f>
        <v>0</v>
      </c>
      <c r="I45" s="53"/>
      <c r="K45" s="51"/>
      <c r="L45" s="54"/>
      <c r="N45" s="53"/>
      <c r="O45" s="53"/>
      <c r="P45" s="53"/>
      <c r="Q45" s="12"/>
    </row>
    <row r="46" spans="2:17" x14ac:dyDescent="0.3">
      <c r="B46" s="12"/>
      <c r="C46" s="51"/>
      <c r="D46" s="52"/>
      <c r="E46" s="53"/>
      <c r="F46" s="54"/>
      <c r="G46" s="54"/>
      <c r="H46" s="54">
        <f>Table191821[[#This Row],[PART COST]]+Table191821[[#This Row],[LABOUR COST]]</f>
        <v>0</v>
      </c>
      <c r="I46" s="53"/>
      <c r="K46" s="51"/>
      <c r="L46" s="54"/>
      <c r="N46" s="53"/>
      <c r="O46" s="53"/>
      <c r="P46" s="53"/>
      <c r="Q46" s="12"/>
    </row>
    <row r="47" spans="2:17" x14ac:dyDescent="0.3">
      <c r="B47" s="12"/>
      <c r="C47" s="51"/>
      <c r="D47" s="52"/>
      <c r="E47" s="53"/>
      <c r="F47" s="54"/>
      <c r="G47" s="54"/>
      <c r="H47" s="54">
        <f>Table191821[[#This Row],[PART COST]]+Table191821[[#This Row],[LABOUR COST]]</f>
        <v>0</v>
      </c>
      <c r="I47" s="53"/>
      <c r="K47" s="51"/>
      <c r="L47" s="54"/>
      <c r="N47" s="53"/>
      <c r="O47" s="53"/>
      <c r="P47" s="53"/>
      <c r="Q47" s="12"/>
    </row>
    <row r="48" spans="2:17" x14ac:dyDescent="0.3">
      <c r="B48" s="12"/>
      <c r="C48" s="51"/>
      <c r="D48" s="52"/>
      <c r="E48" s="53"/>
      <c r="F48" s="54"/>
      <c r="G48" s="54"/>
      <c r="H48" s="54">
        <f>Table191821[[#This Row],[PART COST]]+Table191821[[#This Row],[LABOUR COST]]</f>
        <v>0</v>
      </c>
      <c r="I48" s="53"/>
      <c r="K48" s="51"/>
      <c r="L48" s="54"/>
      <c r="N48" s="53"/>
      <c r="O48" s="53"/>
      <c r="P48" s="53"/>
      <c r="Q48" s="12"/>
    </row>
    <row r="49" spans="2:17" x14ac:dyDescent="0.3">
      <c r="B49" s="12"/>
      <c r="C49" s="51"/>
      <c r="D49" s="52"/>
      <c r="E49" s="53"/>
      <c r="F49" s="54"/>
      <c r="G49" s="54"/>
      <c r="H49" s="54">
        <f>Table191821[[#This Row],[PART COST]]+Table191821[[#This Row],[LABOUR COST]]</f>
        <v>0</v>
      </c>
      <c r="I49" s="53"/>
      <c r="K49" s="51"/>
      <c r="L49" s="54"/>
      <c r="N49" s="53"/>
      <c r="O49" s="53"/>
      <c r="P49" s="53"/>
      <c r="Q49" s="12"/>
    </row>
    <row r="50" spans="2:17" x14ac:dyDescent="0.3">
      <c r="B50" s="12"/>
      <c r="C50" s="51"/>
      <c r="D50" s="52"/>
      <c r="E50" s="53"/>
      <c r="F50" s="54"/>
      <c r="G50" s="54"/>
      <c r="H50" s="54">
        <f>Table191821[[#This Row],[PART COST]]+Table191821[[#This Row],[LABOUR COST]]</f>
        <v>0</v>
      </c>
      <c r="I50" s="53"/>
      <c r="K50" s="51"/>
      <c r="L50" s="54"/>
      <c r="N50" s="53"/>
      <c r="O50" s="53"/>
      <c r="P50" s="53"/>
      <c r="Q50" s="12"/>
    </row>
    <row r="51" spans="2:17" x14ac:dyDescent="0.3">
      <c r="B51" s="12"/>
      <c r="C51" s="51"/>
      <c r="D51" s="52"/>
      <c r="E51" s="53"/>
      <c r="F51" s="54"/>
      <c r="G51" s="54"/>
      <c r="H51" s="54">
        <f>Table191821[[#This Row],[PART COST]]+Table191821[[#This Row],[LABOUR COST]]</f>
        <v>0</v>
      </c>
      <c r="I51" s="53"/>
      <c r="K51" s="51"/>
      <c r="L51" s="54"/>
      <c r="N51" s="53"/>
      <c r="O51" s="53"/>
      <c r="P51" s="53"/>
      <c r="Q51" s="12"/>
    </row>
    <row r="52" spans="2:17" x14ac:dyDescent="0.3">
      <c r="B52" s="12"/>
      <c r="C52" s="51"/>
      <c r="D52" s="52"/>
      <c r="E52" s="53"/>
      <c r="F52" s="54"/>
      <c r="G52" s="54"/>
      <c r="H52" s="54">
        <f>Table191821[[#This Row],[PART COST]]+Table191821[[#This Row],[LABOUR COST]]</f>
        <v>0</v>
      </c>
      <c r="I52" s="53"/>
      <c r="K52" s="51"/>
      <c r="L52" s="54"/>
      <c r="N52" s="53"/>
      <c r="O52" s="53"/>
      <c r="P52" s="53"/>
      <c r="Q52" s="12"/>
    </row>
    <row r="53" spans="2:17" x14ac:dyDescent="0.3">
      <c r="B53" s="12"/>
      <c r="C53" s="51"/>
      <c r="D53" s="52"/>
      <c r="E53" s="53"/>
      <c r="F53" s="54"/>
      <c r="G53" s="54"/>
      <c r="H53" s="54">
        <f>Table191821[[#This Row],[PART COST]]+Table191821[[#This Row],[LABOUR COST]]</f>
        <v>0</v>
      </c>
      <c r="I53" s="53"/>
      <c r="K53" s="51"/>
      <c r="L53" s="54"/>
      <c r="N53" s="53"/>
      <c r="O53" s="53"/>
      <c r="P53" s="53"/>
      <c r="Q53" s="12"/>
    </row>
    <row r="54" spans="2:17" x14ac:dyDescent="0.3">
      <c r="B54" s="12"/>
      <c r="C54" s="51"/>
      <c r="D54" s="52"/>
      <c r="E54" s="53"/>
      <c r="F54" s="54"/>
      <c r="G54" s="54"/>
      <c r="H54" s="54">
        <f>Table191821[[#This Row],[PART COST]]+Table191821[[#This Row],[LABOUR COST]]</f>
        <v>0</v>
      </c>
      <c r="I54" s="53"/>
      <c r="K54" s="51"/>
      <c r="L54" s="54"/>
      <c r="N54" s="53"/>
      <c r="O54" s="53"/>
      <c r="P54" s="53"/>
      <c r="Q54" s="12"/>
    </row>
    <row r="55" spans="2:17" x14ac:dyDescent="0.3">
      <c r="B55" s="12"/>
      <c r="C55" s="51"/>
      <c r="D55" s="52"/>
      <c r="E55" s="53"/>
      <c r="F55" s="54"/>
      <c r="G55" s="54"/>
      <c r="H55" s="54">
        <f>Table191821[[#This Row],[PART COST]]+Table191821[[#This Row],[LABOUR COST]]</f>
        <v>0</v>
      </c>
      <c r="I55" s="53"/>
      <c r="K55" s="51"/>
      <c r="L55" s="54"/>
      <c r="N55" s="53"/>
      <c r="O55" s="53"/>
      <c r="P55" s="53"/>
      <c r="Q55" s="12"/>
    </row>
    <row r="56" spans="2:17" x14ac:dyDescent="0.3">
      <c r="B56" s="12"/>
      <c r="C56" s="51"/>
      <c r="D56" s="52"/>
      <c r="E56" s="53"/>
      <c r="F56" s="54"/>
      <c r="G56" s="54"/>
      <c r="H56" s="54">
        <f>Table191821[[#This Row],[PART COST]]+Table191821[[#This Row],[LABOUR COST]]</f>
        <v>0</v>
      </c>
      <c r="I56" s="53"/>
      <c r="K56" s="51"/>
      <c r="L56" s="54"/>
      <c r="N56" s="53"/>
      <c r="O56" s="53"/>
      <c r="P56" s="53"/>
      <c r="Q56" s="12"/>
    </row>
    <row r="57" spans="2:17" x14ac:dyDescent="0.3">
      <c r="B57" s="12"/>
      <c r="C57" s="51"/>
      <c r="D57" s="52"/>
      <c r="E57" s="53"/>
      <c r="F57" s="54"/>
      <c r="G57" s="54"/>
      <c r="H57" s="54">
        <f>Table191821[[#This Row],[PART COST]]+Table191821[[#This Row],[LABOUR COST]]</f>
        <v>0</v>
      </c>
      <c r="I57" s="53"/>
      <c r="K57" s="51"/>
      <c r="L57" s="54"/>
      <c r="N57" s="53"/>
      <c r="O57" s="53"/>
      <c r="P57" s="53"/>
      <c r="Q57" s="12"/>
    </row>
    <row r="58" spans="2:17" x14ac:dyDescent="0.3">
      <c r="B58" s="12"/>
      <c r="C58" s="51"/>
      <c r="D58" s="52"/>
      <c r="E58" s="53"/>
      <c r="F58" s="54"/>
      <c r="G58" s="54"/>
      <c r="H58" s="54">
        <f>Table191821[[#This Row],[PART COST]]+Table191821[[#This Row],[LABOUR COST]]</f>
        <v>0</v>
      </c>
      <c r="I58" s="53"/>
      <c r="K58" s="51"/>
      <c r="L58" s="54"/>
      <c r="N58" s="53"/>
      <c r="O58" s="53"/>
      <c r="P58" s="53"/>
      <c r="Q58" s="12"/>
    </row>
    <row r="59" spans="2:17" x14ac:dyDescent="0.3">
      <c r="B59" s="12"/>
      <c r="C59" s="51"/>
      <c r="D59" s="52"/>
      <c r="E59" s="53"/>
      <c r="F59" s="54"/>
      <c r="G59" s="54"/>
      <c r="H59" s="54">
        <f>Table191821[[#This Row],[PART COST]]+Table191821[[#This Row],[LABOUR COST]]</f>
        <v>0</v>
      </c>
      <c r="I59" s="53"/>
      <c r="K59" s="51"/>
      <c r="L59" s="54"/>
      <c r="N59" s="53"/>
      <c r="O59" s="53"/>
      <c r="P59" s="53"/>
      <c r="Q59" s="12"/>
    </row>
    <row r="60" spans="2:17" x14ac:dyDescent="0.3">
      <c r="B60" s="12"/>
      <c r="C60" s="51"/>
      <c r="D60" s="52"/>
      <c r="E60" s="53"/>
      <c r="F60" s="54"/>
      <c r="G60" s="54"/>
      <c r="H60" s="54">
        <f>Table191821[[#This Row],[PART COST]]+Table191821[[#This Row],[LABOUR COST]]</f>
        <v>0</v>
      </c>
      <c r="I60" s="53"/>
      <c r="K60" s="51"/>
      <c r="L60" s="54">
        <f>SUM(L12:L59)</f>
        <v>2740.8</v>
      </c>
      <c r="N60" s="53"/>
      <c r="O60" s="53"/>
      <c r="P60" s="53"/>
      <c r="Q60" s="12"/>
    </row>
    <row r="61" spans="2:17" x14ac:dyDescent="0.3">
      <c r="B61" s="12"/>
      <c r="C61" s="51"/>
      <c r="D61" s="52"/>
      <c r="E61" s="53"/>
      <c r="F61" s="54"/>
      <c r="G61" s="54"/>
      <c r="H61" s="54">
        <f>Table191821[[#This Row],[PART COST]]+Table191821[[#This Row],[LABOUR COST]]</f>
        <v>0</v>
      </c>
      <c r="I61" s="53"/>
      <c r="K61" s="53"/>
      <c r="L61" s="53"/>
      <c r="N61" s="53"/>
      <c r="O61" s="53"/>
      <c r="P61" s="53"/>
      <c r="Q61" s="12"/>
    </row>
    <row r="62" spans="2:17" x14ac:dyDescent="0.3">
      <c r="B62" s="12"/>
      <c r="C62" s="51"/>
      <c r="D62" s="53"/>
      <c r="E62" s="53"/>
      <c r="F62" s="54"/>
      <c r="G62" s="54"/>
      <c r="H62" s="54">
        <f>SUM(H12:H61)</f>
        <v>4461.28</v>
      </c>
      <c r="I62" s="53"/>
      <c r="K62" s="53"/>
      <c r="L62" s="53"/>
      <c r="N62" s="53"/>
      <c r="O62" s="53"/>
      <c r="P62" s="53"/>
      <c r="Q62" s="12"/>
    </row>
    <row r="63" spans="2:17" x14ac:dyDescent="0.3">
      <c r="B63" s="12"/>
      <c r="K63" s="53"/>
      <c r="L63" s="53"/>
      <c r="N63" s="53"/>
      <c r="O63" s="53"/>
      <c r="P63" s="53"/>
      <c r="Q63" s="12"/>
    </row>
    <row r="64" spans="2:17" x14ac:dyDescent="0.3">
      <c r="B64" s="12"/>
      <c r="K64" s="53"/>
      <c r="L64" s="53"/>
      <c r="N64" s="53"/>
      <c r="O64" s="53"/>
      <c r="P64" s="53"/>
      <c r="Q64" s="12"/>
    </row>
    <row r="65" spans="2:17" x14ac:dyDescent="0.3">
      <c r="B65" s="12"/>
      <c r="K65" s="53"/>
      <c r="L65" s="53"/>
      <c r="N65" s="53"/>
      <c r="O65" s="53"/>
      <c r="P65" s="53"/>
      <c r="Q65" s="12"/>
    </row>
    <row r="66" spans="2:17" x14ac:dyDescent="0.3">
      <c r="B66" s="12"/>
      <c r="K66" s="53"/>
      <c r="L66" s="53"/>
      <c r="N66" s="53"/>
      <c r="O66" s="53"/>
      <c r="P66" s="53"/>
      <c r="Q66" s="12"/>
    </row>
    <row r="67" spans="2:17" x14ac:dyDescent="0.3">
      <c r="B67" s="12"/>
      <c r="K67" s="53"/>
      <c r="L67" s="53"/>
      <c r="N67" s="53"/>
      <c r="O67" s="53"/>
      <c r="P67" s="53"/>
      <c r="Q67" s="12"/>
    </row>
    <row r="68" spans="2:17" x14ac:dyDescent="0.3">
      <c r="B68" s="12"/>
      <c r="K68" s="53"/>
      <c r="L68" s="53"/>
      <c r="N68" s="53"/>
      <c r="O68" s="53"/>
      <c r="P68" s="53"/>
      <c r="Q68" s="12"/>
    </row>
    <row r="69" spans="2:17" x14ac:dyDescent="0.3">
      <c r="B69" s="12"/>
      <c r="K69" s="53"/>
      <c r="L69" s="53"/>
      <c r="N69" s="53"/>
      <c r="O69" s="53"/>
      <c r="P69" s="53"/>
      <c r="Q69" s="12"/>
    </row>
    <row r="70" spans="2:17" x14ac:dyDescent="0.3">
      <c r="B70" s="12"/>
      <c r="K70" s="53"/>
      <c r="L70" s="53"/>
      <c r="N70" s="53"/>
      <c r="O70" s="53"/>
      <c r="P70" s="53"/>
      <c r="Q70" s="12"/>
    </row>
    <row r="71" spans="2:17" x14ac:dyDescent="0.3">
      <c r="B71" s="12"/>
      <c r="K71" s="53"/>
      <c r="L71" s="53"/>
      <c r="N71" s="53"/>
      <c r="O71" s="53"/>
      <c r="P71" s="53"/>
      <c r="Q71" s="12"/>
    </row>
    <row r="72" spans="2:17" x14ac:dyDescent="0.3">
      <c r="B72" s="12"/>
      <c r="K72" s="53"/>
      <c r="L72" s="53"/>
      <c r="N72" s="53"/>
      <c r="O72" s="53"/>
      <c r="P72" s="53"/>
      <c r="Q72" s="12"/>
    </row>
    <row r="73" spans="2:17" x14ac:dyDescent="0.3">
      <c r="B73" s="12"/>
      <c r="K73" s="53"/>
      <c r="L73" s="53"/>
      <c r="N73" s="53"/>
      <c r="O73" s="53"/>
      <c r="P73" s="53"/>
      <c r="Q73" s="12"/>
    </row>
    <row r="74" spans="2:17" x14ac:dyDescent="0.3">
      <c r="B74" s="12"/>
      <c r="K74" s="53"/>
      <c r="L74" s="53"/>
      <c r="N74" s="53"/>
      <c r="O74" s="53"/>
      <c r="P74" s="53"/>
      <c r="Q74" s="12"/>
    </row>
    <row r="75" spans="2:17" x14ac:dyDescent="0.3">
      <c r="B75" s="12"/>
      <c r="N75" s="53"/>
      <c r="O75" s="53"/>
      <c r="P75" s="53"/>
      <c r="Q75" s="12"/>
    </row>
    <row r="76" spans="2:17" x14ac:dyDescent="0.3">
      <c r="B76" s="12"/>
      <c r="N76" s="53"/>
      <c r="O76" s="53"/>
      <c r="P76" s="53"/>
      <c r="Q76" s="12"/>
    </row>
    <row r="77" spans="2:17" x14ac:dyDescent="0.3">
      <c r="N77" s="53"/>
      <c r="O77" s="53"/>
      <c r="P77" s="53"/>
    </row>
  </sheetData>
  <mergeCells count="14">
    <mergeCell ref="E8:E10"/>
    <mergeCell ref="K8:L8"/>
    <mergeCell ref="K10:L10"/>
    <mergeCell ref="N10:P10"/>
    <mergeCell ref="C3:P3"/>
    <mergeCell ref="C4:D4"/>
    <mergeCell ref="H4:I4"/>
    <mergeCell ref="C5:D5"/>
    <mergeCell ref="E5:E7"/>
    <mergeCell ref="H5:I5"/>
    <mergeCell ref="H6:I6"/>
    <mergeCell ref="F7:G7"/>
    <mergeCell ref="H7:I7"/>
    <mergeCell ref="K7:L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9AB5-C2CF-4B30-BB2D-FF3475CFD3F7}">
  <dimension ref="B2:AD25"/>
  <sheetViews>
    <sheetView workbookViewId="0">
      <selection activeCell="N10" sqref="N10"/>
    </sheetView>
  </sheetViews>
  <sheetFormatPr defaultRowHeight="14.4" x14ac:dyDescent="0.3"/>
  <cols>
    <col min="1" max="1" width="2.109375" customWidth="1"/>
    <col min="2" max="2" width="10.33203125" bestFit="1" customWidth="1"/>
    <col min="4" max="4" width="2.77734375" customWidth="1"/>
    <col min="7" max="7" width="3.109375" customWidth="1"/>
    <col min="10" max="10" width="2.88671875" customWidth="1"/>
    <col min="11" max="11" width="10.33203125" bestFit="1" customWidth="1"/>
    <col min="13" max="13" width="2.6640625" customWidth="1"/>
    <col min="14" max="14" width="10.33203125" bestFit="1" customWidth="1"/>
    <col min="16" max="16" width="3.109375" customWidth="1"/>
    <col min="19" max="19" width="3.109375" customWidth="1"/>
    <col min="22" max="22" width="3.109375" customWidth="1"/>
    <col min="25" max="25" width="3.109375" customWidth="1"/>
    <col min="28" max="28" width="3.109375" customWidth="1"/>
  </cols>
  <sheetData>
    <row r="2" spans="2:30" ht="16.2" thickBot="1" x14ac:dyDescent="0.35">
      <c r="E2" s="1" t="s">
        <v>0</v>
      </c>
      <c r="F2" s="2"/>
      <c r="G2" s="2"/>
      <c r="H2" s="2"/>
      <c r="I2" s="2"/>
      <c r="J2" s="3"/>
      <c r="N2" s="4" t="s">
        <v>1</v>
      </c>
      <c r="O2" s="4"/>
      <c r="P2" s="4"/>
      <c r="Q2" s="4"/>
      <c r="R2" s="5">
        <f>C13+F13+I13+L13+O13+R13+U13+U24+R24+O24+L24+I24+F24+C24+X13+AA13+AD13+X24+AA24+AD24</f>
        <v>2800</v>
      </c>
      <c r="S2" s="4"/>
      <c r="T2" s="4"/>
    </row>
    <row r="3" spans="2:30" ht="15" thickTop="1" x14ac:dyDescent="0.3"/>
    <row r="4" spans="2:30" x14ac:dyDescent="0.3">
      <c r="B4" s="6" t="s">
        <v>2</v>
      </c>
      <c r="C4" s="6"/>
      <c r="E4" s="6" t="s">
        <v>3</v>
      </c>
      <c r="F4" s="6"/>
      <c r="H4" s="6" t="s">
        <v>4</v>
      </c>
      <c r="I4" s="6"/>
      <c r="K4" s="6" t="s">
        <v>5</v>
      </c>
      <c r="L4" s="6"/>
      <c r="N4" s="6" t="s">
        <v>6</v>
      </c>
      <c r="O4" s="6"/>
      <c r="Q4" s="6" t="s">
        <v>7</v>
      </c>
      <c r="R4" s="6"/>
      <c r="T4" s="6"/>
      <c r="U4" s="6"/>
      <c r="W4" s="6"/>
      <c r="X4" s="6"/>
      <c r="Z4" s="6"/>
      <c r="AA4" s="6"/>
      <c r="AC4" s="6"/>
      <c r="AD4" s="6"/>
    </row>
    <row r="5" spans="2:30" x14ac:dyDescent="0.3">
      <c r="B5" s="7" t="s">
        <v>8</v>
      </c>
      <c r="C5" s="7" t="s">
        <v>9</v>
      </c>
      <c r="E5" s="7" t="s">
        <v>8</v>
      </c>
      <c r="F5" s="7" t="s">
        <v>9</v>
      </c>
      <c r="H5" s="7" t="s">
        <v>8</v>
      </c>
      <c r="I5" s="7" t="s">
        <v>9</v>
      </c>
      <c r="K5" s="7" t="s">
        <v>8</v>
      </c>
      <c r="L5" s="7" t="s">
        <v>9</v>
      </c>
      <c r="N5" s="7" t="s">
        <v>8</v>
      </c>
      <c r="O5" s="7" t="s">
        <v>9</v>
      </c>
      <c r="Q5" s="7" t="s">
        <v>8</v>
      </c>
      <c r="R5" s="7" t="s">
        <v>9</v>
      </c>
      <c r="T5" s="7" t="s">
        <v>8</v>
      </c>
      <c r="U5" s="7" t="s">
        <v>9</v>
      </c>
      <c r="W5" s="7" t="s">
        <v>8</v>
      </c>
      <c r="X5" s="7" t="s">
        <v>9</v>
      </c>
      <c r="Z5" s="7" t="s">
        <v>8</v>
      </c>
      <c r="AA5" s="7" t="s">
        <v>9</v>
      </c>
      <c r="AC5" s="7" t="s">
        <v>8</v>
      </c>
      <c r="AD5" s="7" t="s">
        <v>9</v>
      </c>
    </row>
    <row r="6" spans="2:30" x14ac:dyDescent="0.3">
      <c r="B6" s="8"/>
      <c r="C6" s="9"/>
      <c r="E6" s="8"/>
      <c r="F6" s="9"/>
      <c r="H6" s="8"/>
      <c r="I6" s="9"/>
      <c r="K6" s="8"/>
      <c r="L6" s="9"/>
      <c r="N6" s="8">
        <v>46227</v>
      </c>
      <c r="O6" s="9">
        <v>200</v>
      </c>
      <c r="Q6" s="8"/>
      <c r="R6" s="9"/>
      <c r="T6" s="8"/>
      <c r="U6" s="9"/>
      <c r="W6" s="8"/>
      <c r="X6" s="9"/>
      <c r="Z6" s="8"/>
      <c r="AA6" s="9"/>
      <c r="AC6" s="8"/>
      <c r="AD6" s="9"/>
    </row>
    <row r="7" spans="2:30" x14ac:dyDescent="0.3">
      <c r="B7" s="8"/>
      <c r="C7" s="9"/>
      <c r="E7" s="8"/>
      <c r="F7" s="9"/>
      <c r="H7" s="8"/>
      <c r="I7" s="9"/>
      <c r="K7" s="8"/>
      <c r="L7" s="9"/>
      <c r="N7" s="8">
        <v>46255</v>
      </c>
      <c r="O7" s="9">
        <v>200</v>
      </c>
      <c r="Q7" s="8"/>
      <c r="R7" s="9"/>
      <c r="T7" s="8"/>
      <c r="U7" s="9"/>
      <c r="W7" s="8"/>
      <c r="X7" s="9"/>
      <c r="Z7" s="8"/>
      <c r="AA7" s="9"/>
      <c r="AC7" s="8"/>
      <c r="AD7" s="9"/>
    </row>
    <row r="8" spans="2:30" x14ac:dyDescent="0.3">
      <c r="B8" s="8"/>
      <c r="C8" s="9"/>
      <c r="E8" s="8"/>
      <c r="F8" s="9"/>
      <c r="H8" s="8"/>
      <c r="I8" s="9"/>
      <c r="K8" s="8"/>
      <c r="L8" s="9"/>
      <c r="N8" s="8">
        <v>46283</v>
      </c>
      <c r="O8" s="9">
        <v>200</v>
      </c>
      <c r="Q8" s="8"/>
      <c r="R8" s="9"/>
      <c r="T8" s="8"/>
      <c r="U8" s="9"/>
      <c r="W8" s="8"/>
      <c r="X8" s="9"/>
      <c r="Z8" s="8"/>
      <c r="AA8" s="9"/>
      <c r="AC8" s="8"/>
      <c r="AD8" s="9"/>
    </row>
    <row r="9" spans="2:30" x14ac:dyDescent="0.3">
      <c r="B9" s="8"/>
      <c r="C9" s="9"/>
      <c r="E9" s="8"/>
      <c r="F9" s="9"/>
      <c r="H9" s="8"/>
      <c r="I9" s="9"/>
      <c r="K9" s="8"/>
      <c r="L9" s="9"/>
      <c r="N9" s="8">
        <v>46311</v>
      </c>
      <c r="O9" s="9">
        <v>200</v>
      </c>
      <c r="Q9" s="8"/>
      <c r="R9" s="9"/>
      <c r="T9" s="8"/>
      <c r="U9" s="9"/>
      <c r="W9" s="8"/>
      <c r="X9" s="9"/>
      <c r="Z9" s="8"/>
      <c r="AA9" s="9"/>
      <c r="AC9" s="8"/>
      <c r="AD9" s="9"/>
    </row>
    <row r="10" spans="2:30" x14ac:dyDescent="0.3">
      <c r="B10" s="8"/>
      <c r="C10" s="9"/>
      <c r="E10" s="8"/>
      <c r="F10" s="9"/>
      <c r="H10" s="8"/>
      <c r="I10" s="9"/>
      <c r="K10" s="8"/>
      <c r="L10" s="9"/>
      <c r="N10" s="8"/>
      <c r="O10" s="9"/>
      <c r="Q10" s="8"/>
      <c r="R10" s="9"/>
      <c r="T10" s="8"/>
      <c r="U10" s="9"/>
      <c r="W10" s="8"/>
      <c r="X10" s="9"/>
      <c r="Z10" s="8"/>
      <c r="AA10" s="9"/>
      <c r="AC10" s="8"/>
      <c r="AD10" s="9"/>
    </row>
    <row r="11" spans="2:30" x14ac:dyDescent="0.3">
      <c r="B11" s="8"/>
      <c r="C11" s="9"/>
      <c r="E11" s="8"/>
      <c r="F11" s="9"/>
      <c r="H11" s="8"/>
      <c r="I11" s="9"/>
      <c r="K11" s="8"/>
      <c r="L11" s="9"/>
      <c r="N11" s="8"/>
      <c r="O11" s="9"/>
      <c r="Q11" s="8"/>
      <c r="R11" s="9"/>
      <c r="T11" s="8"/>
      <c r="U11" s="9"/>
      <c r="W11" s="8"/>
      <c r="X11" s="9"/>
      <c r="Z11" s="8"/>
      <c r="AA11" s="9"/>
      <c r="AC11" s="8"/>
      <c r="AD11" s="9"/>
    </row>
    <row r="12" spans="2:30" x14ac:dyDescent="0.3">
      <c r="B12" s="8"/>
      <c r="C12" s="9"/>
      <c r="E12" s="8"/>
      <c r="F12" s="9"/>
      <c r="H12" s="8"/>
      <c r="I12" s="9"/>
      <c r="K12" s="8"/>
      <c r="L12" s="9"/>
      <c r="N12" s="8"/>
      <c r="O12" s="9"/>
      <c r="Q12" s="8"/>
      <c r="R12" s="9"/>
      <c r="T12" s="8"/>
      <c r="U12" s="9"/>
      <c r="W12" s="8"/>
      <c r="X12" s="9"/>
      <c r="Z12" s="8"/>
      <c r="AA12" s="9"/>
      <c r="AC12" s="8"/>
      <c r="AD12" s="9"/>
    </row>
    <row r="13" spans="2:30" ht="15" thickBot="1" x14ac:dyDescent="0.35">
      <c r="B13" s="10" t="s">
        <v>10</v>
      </c>
      <c r="C13" s="11">
        <f>SUM(C6:C12)</f>
        <v>0</v>
      </c>
      <c r="E13" s="10" t="s">
        <v>10</v>
      </c>
      <c r="F13" s="11">
        <f>SUM(F6:F12)</f>
        <v>0</v>
      </c>
      <c r="H13" s="10" t="s">
        <v>10</v>
      </c>
      <c r="I13" s="11">
        <f>SUM(I6:I12)</f>
        <v>0</v>
      </c>
      <c r="K13" s="10" t="s">
        <v>10</v>
      </c>
      <c r="L13" s="11">
        <f>SUM(L6:L12)</f>
        <v>0</v>
      </c>
      <c r="N13" s="10" t="s">
        <v>10</v>
      </c>
      <c r="O13" s="11">
        <f>SUM(O6:O12)</f>
        <v>800</v>
      </c>
      <c r="Q13" s="10" t="s">
        <v>10</v>
      </c>
      <c r="R13" s="11">
        <f>SUM(R6:R12)</f>
        <v>0</v>
      </c>
      <c r="T13" s="10" t="s">
        <v>10</v>
      </c>
      <c r="U13" s="11">
        <f>SUM(U6:U12)</f>
        <v>0</v>
      </c>
      <c r="W13" s="10" t="s">
        <v>10</v>
      </c>
      <c r="X13" s="11">
        <f>SUM(X6:X12)</f>
        <v>0</v>
      </c>
      <c r="Z13" s="10" t="s">
        <v>10</v>
      </c>
      <c r="AA13" s="11">
        <f>SUM(AA6:AA12)</f>
        <v>0</v>
      </c>
      <c r="AC13" s="10" t="s">
        <v>10</v>
      </c>
      <c r="AD13" s="11">
        <f>SUM(AD6:AD12)</f>
        <v>0</v>
      </c>
    </row>
    <row r="14" spans="2:30" ht="15" thickTop="1" x14ac:dyDescent="0.3"/>
    <row r="15" spans="2:30" x14ac:dyDescent="0.3">
      <c r="B15" s="6" t="s">
        <v>11</v>
      </c>
      <c r="C15" s="6"/>
      <c r="E15" s="6" t="s">
        <v>12</v>
      </c>
      <c r="F15" s="6"/>
      <c r="H15" s="6" t="s">
        <v>13</v>
      </c>
      <c r="I15" s="6"/>
      <c r="K15" s="6" t="s">
        <v>14</v>
      </c>
      <c r="L15" s="6"/>
      <c r="N15" s="6" t="s">
        <v>15</v>
      </c>
      <c r="O15" s="6"/>
      <c r="Q15" s="6"/>
      <c r="R15" s="6"/>
      <c r="T15" s="6"/>
      <c r="U15" s="6"/>
      <c r="W15" s="6"/>
      <c r="X15" s="6"/>
      <c r="Z15" s="6"/>
      <c r="AA15" s="6"/>
      <c r="AC15" s="6"/>
      <c r="AD15" s="6"/>
    </row>
    <row r="16" spans="2:30" x14ac:dyDescent="0.3">
      <c r="B16" s="7" t="s">
        <v>8</v>
      </c>
      <c r="C16" s="7" t="s">
        <v>9</v>
      </c>
      <c r="E16" s="7" t="s">
        <v>8</v>
      </c>
      <c r="F16" s="7" t="s">
        <v>9</v>
      </c>
      <c r="H16" s="7" t="s">
        <v>8</v>
      </c>
      <c r="I16" s="7" t="s">
        <v>9</v>
      </c>
      <c r="K16" s="7" t="s">
        <v>8</v>
      </c>
      <c r="L16" s="7" t="s">
        <v>9</v>
      </c>
      <c r="N16" s="7" t="s">
        <v>8</v>
      </c>
      <c r="O16" s="7" t="s">
        <v>9</v>
      </c>
      <c r="Q16" s="7" t="s">
        <v>8</v>
      </c>
      <c r="R16" s="7" t="s">
        <v>9</v>
      </c>
      <c r="T16" s="7" t="s">
        <v>8</v>
      </c>
      <c r="U16" s="7" t="s">
        <v>9</v>
      </c>
      <c r="W16" s="7" t="s">
        <v>8</v>
      </c>
      <c r="X16" s="7" t="s">
        <v>9</v>
      </c>
      <c r="Z16" s="7" t="s">
        <v>8</v>
      </c>
      <c r="AA16" s="7" t="s">
        <v>9</v>
      </c>
      <c r="AC16" s="7" t="s">
        <v>8</v>
      </c>
      <c r="AD16" s="7" t="s">
        <v>9</v>
      </c>
    </row>
    <row r="17" spans="2:30" x14ac:dyDescent="0.3">
      <c r="B17" s="8"/>
      <c r="C17" s="9"/>
      <c r="E17" s="8"/>
      <c r="F17" s="9"/>
      <c r="H17" s="8"/>
      <c r="I17" s="9"/>
      <c r="K17" s="8">
        <v>46199</v>
      </c>
      <c r="L17" s="9">
        <v>200</v>
      </c>
      <c r="N17" s="8">
        <v>46199</v>
      </c>
      <c r="O17" s="9">
        <v>200</v>
      </c>
      <c r="Q17" s="8"/>
      <c r="R17" s="9"/>
      <c r="T17" s="8"/>
      <c r="U17" s="9"/>
      <c r="W17" s="8"/>
      <c r="X17" s="9"/>
      <c r="Z17" s="8"/>
      <c r="AA17" s="9"/>
      <c r="AC17" s="8"/>
      <c r="AD17" s="9"/>
    </row>
    <row r="18" spans="2:30" x14ac:dyDescent="0.3">
      <c r="B18" s="8"/>
      <c r="C18" s="9"/>
      <c r="E18" s="8"/>
      <c r="F18" s="9"/>
      <c r="H18" s="8"/>
      <c r="I18" s="9"/>
      <c r="K18" s="8">
        <v>46227</v>
      </c>
      <c r="L18" s="9">
        <v>200</v>
      </c>
      <c r="N18" s="8">
        <v>46227</v>
      </c>
      <c r="O18" s="9">
        <v>200</v>
      </c>
      <c r="Q18" s="8"/>
      <c r="R18" s="9"/>
      <c r="T18" s="8"/>
      <c r="U18" s="9"/>
      <c r="W18" s="8"/>
      <c r="X18" s="9"/>
      <c r="Z18" s="8"/>
      <c r="AA18" s="9"/>
      <c r="AC18" s="8"/>
      <c r="AD18" s="9"/>
    </row>
    <row r="19" spans="2:30" x14ac:dyDescent="0.3">
      <c r="B19" s="8"/>
      <c r="C19" s="9"/>
      <c r="E19" s="8"/>
      <c r="F19" s="9"/>
      <c r="H19" s="8"/>
      <c r="I19" s="9"/>
      <c r="K19" s="8">
        <v>46255</v>
      </c>
      <c r="L19" s="9">
        <v>200</v>
      </c>
      <c r="N19" s="8">
        <v>46255</v>
      </c>
      <c r="O19" s="9">
        <v>200</v>
      </c>
      <c r="Q19" s="8"/>
      <c r="R19" s="9"/>
      <c r="T19" s="8"/>
      <c r="U19" s="9"/>
      <c r="W19" s="8"/>
      <c r="X19" s="9"/>
      <c r="Z19" s="8"/>
      <c r="AA19" s="9"/>
      <c r="AC19" s="8"/>
      <c r="AD19" s="9"/>
    </row>
    <row r="20" spans="2:30" x14ac:dyDescent="0.3">
      <c r="B20" s="8"/>
      <c r="C20" s="9"/>
      <c r="E20" s="8"/>
      <c r="F20" s="9"/>
      <c r="H20" s="8"/>
      <c r="I20" s="9"/>
      <c r="K20" s="8">
        <v>46283</v>
      </c>
      <c r="L20" s="9">
        <v>200</v>
      </c>
      <c r="N20" s="8">
        <v>46283</v>
      </c>
      <c r="O20" s="9">
        <v>200</v>
      </c>
      <c r="Q20" s="8"/>
      <c r="R20" s="9"/>
      <c r="T20" s="8"/>
      <c r="U20" s="9"/>
      <c r="W20" s="8"/>
      <c r="X20" s="9"/>
      <c r="Z20" s="8"/>
      <c r="AA20" s="9"/>
      <c r="AC20" s="8"/>
      <c r="AD20" s="9"/>
    </row>
    <row r="21" spans="2:30" x14ac:dyDescent="0.3">
      <c r="B21" s="8"/>
      <c r="C21" s="9"/>
      <c r="E21" s="8"/>
      <c r="F21" s="9"/>
      <c r="H21" s="8"/>
      <c r="I21" s="9"/>
      <c r="K21" s="8">
        <v>46311</v>
      </c>
      <c r="L21" s="9">
        <v>200</v>
      </c>
      <c r="N21" s="8">
        <v>46311</v>
      </c>
      <c r="O21" s="9">
        <v>200</v>
      </c>
      <c r="Q21" s="8"/>
      <c r="R21" s="9"/>
      <c r="T21" s="8"/>
      <c r="U21" s="9"/>
      <c r="W21" s="8"/>
      <c r="X21" s="9"/>
      <c r="Z21" s="8"/>
      <c r="AA21" s="9"/>
      <c r="AC21" s="8"/>
      <c r="AD21" s="9"/>
    </row>
    <row r="22" spans="2:30" x14ac:dyDescent="0.3">
      <c r="B22" s="8"/>
      <c r="C22" s="9"/>
      <c r="E22" s="8"/>
      <c r="F22" s="9"/>
      <c r="H22" s="8"/>
      <c r="I22" s="9"/>
      <c r="K22" s="8"/>
      <c r="L22" s="9"/>
      <c r="N22" s="8"/>
      <c r="O22" s="9"/>
      <c r="Q22" s="8"/>
      <c r="R22" s="9"/>
      <c r="T22" s="8"/>
      <c r="U22" s="9"/>
      <c r="W22" s="8"/>
      <c r="X22" s="9"/>
      <c r="Z22" s="8"/>
      <c r="AA22" s="9"/>
      <c r="AC22" s="8"/>
      <c r="AD22" s="9"/>
    </row>
    <row r="23" spans="2:30" x14ac:dyDescent="0.3">
      <c r="B23" s="8"/>
      <c r="C23" s="9"/>
      <c r="E23" s="8"/>
      <c r="F23" s="9"/>
      <c r="H23" s="8"/>
      <c r="I23" s="9"/>
      <c r="K23" s="8"/>
      <c r="L23" s="9"/>
      <c r="N23" s="8"/>
      <c r="O23" s="9"/>
      <c r="Q23" s="8"/>
      <c r="R23" s="9"/>
      <c r="T23" s="8"/>
      <c r="U23" s="9"/>
      <c r="W23" s="8"/>
      <c r="X23" s="9"/>
      <c r="Z23" s="8"/>
      <c r="AA23" s="9"/>
      <c r="AC23" s="8"/>
      <c r="AD23" s="9"/>
    </row>
    <row r="24" spans="2:30" ht="15" thickBot="1" x14ac:dyDescent="0.35">
      <c r="B24" s="10" t="s">
        <v>10</v>
      </c>
      <c r="C24" s="11">
        <f>SUM(C17:C23)</f>
        <v>0</v>
      </c>
      <c r="E24" s="10" t="s">
        <v>10</v>
      </c>
      <c r="F24" s="11">
        <f>SUM(F17:F23)</f>
        <v>0</v>
      </c>
      <c r="H24" s="10" t="s">
        <v>10</v>
      </c>
      <c r="I24" s="11">
        <f>SUM(I17:I23)</f>
        <v>0</v>
      </c>
      <c r="K24" s="10" t="s">
        <v>10</v>
      </c>
      <c r="L24" s="11">
        <f>SUM(L17:L23)</f>
        <v>1000</v>
      </c>
      <c r="N24" s="10" t="s">
        <v>10</v>
      </c>
      <c r="O24" s="11">
        <f>SUM(O17:O23)</f>
        <v>1000</v>
      </c>
      <c r="Q24" s="10" t="s">
        <v>10</v>
      </c>
      <c r="R24" s="11">
        <f>SUM(R17:R23)</f>
        <v>0</v>
      </c>
      <c r="T24" s="10" t="s">
        <v>10</v>
      </c>
      <c r="U24" s="11">
        <f>SUM(U17:U23)</f>
        <v>0</v>
      </c>
      <c r="W24" s="10" t="s">
        <v>10</v>
      </c>
      <c r="X24" s="11">
        <f>SUM(X17:X23)</f>
        <v>0</v>
      </c>
      <c r="Z24" s="10" t="s">
        <v>10</v>
      </c>
      <c r="AA24" s="11">
        <f>SUM(AA17:AA23)</f>
        <v>0</v>
      </c>
      <c r="AC24" s="10" t="s">
        <v>10</v>
      </c>
      <c r="AD24" s="11">
        <f>SUM(AD17:AD23)</f>
        <v>0</v>
      </c>
    </row>
    <row r="25" spans="2:30" ht="15" thickTop="1" x14ac:dyDescent="0.3"/>
  </sheetData>
  <mergeCells count="23">
    <mergeCell ref="W15:X15"/>
    <mergeCell ref="Z15:AA15"/>
    <mergeCell ref="AC15:AD15"/>
    <mergeCell ref="W4:X4"/>
    <mergeCell ref="Z4:AA4"/>
    <mergeCell ref="AC4:AD4"/>
    <mergeCell ref="B15:C15"/>
    <mergeCell ref="E15:F15"/>
    <mergeCell ref="H15:I15"/>
    <mergeCell ref="K15:L15"/>
    <mergeCell ref="N15:O15"/>
    <mergeCell ref="Q15:R15"/>
    <mergeCell ref="T15:U15"/>
    <mergeCell ref="E2:J2"/>
    <mergeCell ref="N2:Q2"/>
    <mergeCell ref="R2:T2"/>
    <mergeCell ref="B4:C4"/>
    <mergeCell ref="E4:F4"/>
    <mergeCell ref="H4:I4"/>
    <mergeCell ref="K4:L4"/>
    <mergeCell ref="N4:O4"/>
    <mergeCell ref="Q4:R4"/>
    <mergeCell ref="T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KR23XYZ</vt:lpstr>
      <vt:lpstr>DEPOSIT FOR THE VANS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Augusto Conte Herrig</dc:creator>
  <cp:lastModifiedBy>Reinaldo Augusto Conte Herrig</cp:lastModifiedBy>
  <dcterms:created xsi:type="dcterms:W3CDTF">2026-10-27T21:45:37Z</dcterms:created>
  <dcterms:modified xsi:type="dcterms:W3CDTF">2026-10-27T22:41:45Z</dcterms:modified>
</cp:coreProperties>
</file>