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f7cf8fcfa60fa0/Desktop/"/>
    </mc:Choice>
  </mc:AlternateContent>
  <xr:revisionPtr revIDLastSave="0" documentId="8_{B2CC28FB-F904-4036-958F-09AA256B353D}" xr6:coauthVersionLast="47" xr6:coauthVersionMax="47" xr10:uidLastSave="{00000000-0000-0000-0000-000000000000}"/>
  <bookViews>
    <workbookView xWindow="-108" yWindow="-108" windowWidth="23256" windowHeight="12456" xr2:uid="{E596993C-B6F6-4C9F-A433-989664AC04E8}"/>
  </bookViews>
  <sheets>
    <sheet name="Sheet1" sheetId="1" r:id="rId1"/>
    <sheet name="30-09-26" sheetId="2" r:id="rId2"/>
    <sheet name="July" sheetId="3" r:id="rId3"/>
    <sheet name="Sheet2" sheetId="4" r:id="rId4"/>
    <sheet name="12-10 TO 08-11" sheetId="5" r:id="rId5"/>
    <sheet name="RONALDO" sheetId="6" r:id="rId6"/>
  </sheets>
  <externalReferences>
    <externalReference r:id="rId7"/>
  </externalReferences>
  <definedNames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alendarYear">[1]January!$K$6</definedName>
    <definedName name="ColumnTitleRegion1..H12.7">July!$B$2</definedName>
    <definedName name="ColumnTitleRegion2..C14.7">July!$B$2</definedName>
    <definedName name="Days">{0,1,2,3,4,5,6}</definedName>
    <definedName name="DaysAndWeeks">{0,1,2,3,4,5,6} + {0;1;2;3;4;5}*7</definedName>
    <definedName name="Months">{"January","February","March","April","May","June","July","August","September","October","November","December"}</definedName>
    <definedName name="WeekdayOption">MATCH('12-10 TO 08-11'!WeekStart,Weekdays,0)+10</definedName>
    <definedName name="Weekdays">{"Monday","Tuesday","Wednesday","Thursday","Friday","Saturday","Sunday"}</definedName>
    <definedName name="WeekStart" localSheetId="4">#REF!</definedName>
    <definedName name="WeekStart">[1]January!$K$7</definedName>
    <definedName name="WeekStartValue">IF('12-10 TO 08-11'!WeekStart="Monday",2,1)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6" l="1"/>
  <c r="AE32" i="6"/>
  <c r="AG32" i="6" s="1"/>
  <c r="U32" i="6"/>
  <c r="M32" i="6"/>
  <c r="AL31" i="6"/>
  <c r="AE31" i="6"/>
  <c r="AG31" i="6" s="1"/>
  <c r="P31" i="6"/>
  <c r="AL30" i="6"/>
  <c r="AE30" i="6"/>
  <c r="AG30" i="6" s="1"/>
  <c r="P30" i="6"/>
  <c r="AL29" i="6"/>
  <c r="AE29" i="6"/>
  <c r="AG29" i="6" s="1"/>
  <c r="P29" i="6"/>
  <c r="AL28" i="6"/>
  <c r="AE28" i="6"/>
  <c r="AG28" i="6" s="1"/>
  <c r="P28" i="6"/>
  <c r="AL27" i="6"/>
  <c r="AE27" i="6"/>
  <c r="AG27" i="6" s="1"/>
  <c r="P27" i="6"/>
  <c r="AL26" i="6"/>
  <c r="AM26" i="6" s="1"/>
  <c r="AE26" i="6"/>
  <c r="AG26" i="6" s="1"/>
  <c r="P26" i="6"/>
  <c r="AL25" i="6"/>
  <c r="AE25" i="6"/>
  <c r="AG25" i="6" s="1"/>
  <c r="P25" i="6"/>
  <c r="AL24" i="6"/>
  <c r="AE24" i="6"/>
  <c r="AG24" i="6" s="1"/>
  <c r="P24" i="6"/>
  <c r="AL23" i="6"/>
  <c r="AE23" i="6"/>
  <c r="AG23" i="6" s="1"/>
  <c r="P23" i="6"/>
  <c r="AL22" i="6"/>
  <c r="AE22" i="6"/>
  <c r="AG22" i="6" s="1"/>
  <c r="P22" i="6"/>
  <c r="AL21" i="6"/>
  <c r="AE21" i="6"/>
  <c r="AG21" i="6" s="1"/>
  <c r="P21" i="6"/>
  <c r="AL20" i="6"/>
  <c r="AE20" i="6"/>
  <c r="AG20" i="6" s="1"/>
  <c r="P20" i="6"/>
  <c r="AL19" i="6"/>
  <c r="AE19" i="6"/>
  <c r="AG19" i="6" s="1"/>
  <c r="P19" i="6"/>
  <c r="E19" i="6"/>
  <c r="AL18" i="6"/>
  <c r="AE18" i="6"/>
  <c r="AG18" i="6" s="1"/>
  <c r="P18" i="6"/>
  <c r="AL17" i="6"/>
  <c r="AE17" i="6"/>
  <c r="AG17" i="6" s="1"/>
  <c r="P17" i="6"/>
  <c r="AL16" i="6"/>
  <c r="AE16" i="6"/>
  <c r="AG16" i="6" s="1"/>
  <c r="U16" i="6"/>
  <c r="P16" i="6"/>
  <c r="AL15" i="6"/>
  <c r="AE15" i="6"/>
  <c r="AG15" i="6" s="1"/>
  <c r="P15" i="6"/>
  <c r="AL14" i="6"/>
  <c r="AE14" i="6"/>
  <c r="AG14" i="6" s="1"/>
  <c r="P14" i="6"/>
  <c r="AL13" i="6"/>
  <c r="AE13" i="6"/>
  <c r="AG13" i="6" s="1"/>
  <c r="P13" i="6"/>
  <c r="AL12" i="6"/>
  <c r="AE12" i="6"/>
  <c r="AG12" i="6" s="1"/>
  <c r="P12" i="6"/>
  <c r="AL11" i="6"/>
  <c r="AE11" i="6"/>
  <c r="AG11" i="6" s="1"/>
  <c r="P11" i="6"/>
  <c r="AL10" i="6"/>
  <c r="AE10" i="6"/>
  <c r="AG10" i="6" s="1"/>
  <c r="P10" i="6"/>
  <c r="AL9" i="6"/>
  <c r="AE9" i="6"/>
  <c r="AG9" i="6" s="1"/>
  <c r="AM9" i="6" s="1"/>
  <c r="P9" i="6"/>
  <c r="AL8" i="6"/>
  <c r="AE8" i="6"/>
  <c r="AG8" i="6" s="1"/>
  <c r="P8" i="6"/>
  <c r="AL7" i="6"/>
  <c r="AE7" i="6"/>
  <c r="AG7" i="6" s="1"/>
  <c r="P7" i="6"/>
  <c r="AL6" i="6"/>
  <c r="AE6" i="6"/>
  <c r="AG6" i="6" s="1"/>
  <c r="P6" i="6"/>
  <c r="AL5" i="6"/>
  <c r="AE5" i="6"/>
  <c r="AG5" i="6" s="1"/>
  <c r="P5" i="6"/>
  <c r="AL4" i="6"/>
  <c r="AE4" i="6"/>
  <c r="AG4" i="6" s="1"/>
  <c r="P4" i="6"/>
  <c r="P32" i="6" s="1"/>
  <c r="E17" i="6" s="1"/>
  <c r="B38" i="3" a="1"/>
  <c r="B31" i="3" a="1"/>
  <c r="B24" i="3" a="1"/>
  <c r="B17" i="3" a="1"/>
  <c r="B10" i="3" a="1"/>
  <c r="B3" i="3" a="1"/>
  <c r="B2" i="3"/>
  <c r="B1" i="3"/>
  <c r="AG26" i="2"/>
  <c r="AA26" i="2"/>
  <c r="P2" i="2" s="1"/>
  <c r="U26" i="2"/>
  <c r="O26" i="2"/>
  <c r="I26" i="2"/>
  <c r="C26" i="2"/>
  <c r="AL32" i="6" l="1"/>
  <c r="AM4" i="6"/>
  <c r="E18" i="6"/>
  <c r="E20" i="6" s="1"/>
  <c r="E22" i="6" s="1"/>
  <c r="AM31" i="6"/>
  <c r="AM30" i="6"/>
  <c r="AM29" i="6"/>
  <c r="AM28" i="6"/>
  <c r="AM27" i="6"/>
  <c r="AM25" i="6"/>
  <c r="AM24" i="6"/>
  <c r="AM23" i="6"/>
  <c r="AM22" i="6"/>
  <c r="AM19" i="6"/>
  <c r="AM18" i="6"/>
  <c r="AM14" i="6"/>
  <c r="AM13" i="6"/>
  <c r="AM11" i="6"/>
  <c r="AM8" i="6"/>
  <c r="AM7" i="6"/>
  <c r="AM6" i="6"/>
  <c r="AM21" i="6"/>
  <c r="AM15" i="6"/>
  <c r="AM12" i="6"/>
  <c r="AM20" i="6"/>
  <c r="AM17" i="6"/>
  <c r="AM16" i="6"/>
  <c r="AM10" i="6"/>
  <c r="AM5" i="6"/>
  <c r="B38" i="3"/>
  <c r="C38" i="3"/>
  <c r="G31" i="3"/>
  <c r="F31" i="3"/>
  <c r="E31" i="3"/>
  <c r="D31" i="3"/>
  <c r="C31" i="3"/>
  <c r="B31" i="3"/>
  <c r="H31" i="3"/>
  <c r="H24" i="3"/>
  <c r="G24" i="3"/>
  <c r="F24" i="3"/>
  <c r="E24" i="3"/>
  <c r="D24" i="3"/>
  <c r="C24" i="3"/>
  <c r="B24" i="3"/>
  <c r="H17" i="3"/>
  <c r="G17" i="3"/>
  <c r="F17" i="3"/>
  <c r="E17" i="3"/>
  <c r="D17" i="3"/>
  <c r="C17" i="3"/>
  <c r="B17" i="3"/>
  <c r="H10" i="3"/>
  <c r="G10" i="3"/>
  <c r="F10" i="3"/>
  <c r="E10" i="3"/>
  <c r="D10" i="3"/>
  <c r="C10" i="3"/>
  <c r="B10" i="3"/>
  <c r="D3" i="3"/>
  <c r="D2" i="3" s="1"/>
  <c r="C3" i="3"/>
  <c r="C2" i="3" s="1"/>
  <c r="B3" i="3"/>
  <c r="F3" i="3"/>
  <c r="F2" i="3" s="1"/>
  <c r="E3" i="3"/>
  <c r="E2" i="3" s="1"/>
  <c r="H3" i="3"/>
  <c r="H2" i="3" s="1"/>
  <c r="G3" i="3"/>
  <c r="G2" i="3" s="1"/>
  <c r="AM32" i="6" l="1"/>
</calcChain>
</file>

<file path=xl/sharedStrings.xml><?xml version="1.0" encoding="utf-8"?>
<sst xmlns="http://schemas.openxmlformats.org/spreadsheetml/2006/main" count="1875" uniqueCount="250">
  <si>
    <t>SHELL CARD DRIVER DIVISION</t>
  </si>
  <si>
    <t>INVOICE No</t>
  </si>
  <si>
    <t>INVOICE DATE</t>
  </si>
  <si>
    <t>NAME</t>
  </si>
  <si>
    <t>REINALDO</t>
  </si>
  <si>
    <t>DANIEL</t>
  </si>
  <si>
    <t>OCTAVIO</t>
  </si>
  <si>
    <t>LUCIE</t>
  </si>
  <si>
    <t>LUCAS</t>
  </si>
  <si>
    <t>RAFAEL</t>
  </si>
  <si>
    <t>DATE</t>
  </si>
  <si>
    <t>GROSS AMOUNT</t>
  </si>
  <si>
    <t>DRIVER</t>
  </si>
  <si>
    <t>DISCOUNTED</t>
  </si>
  <si>
    <t>DATE DISCOUNTED</t>
  </si>
  <si>
    <t>RONALDO</t>
  </si>
  <si>
    <t>YES</t>
  </si>
  <si>
    <t>LUCIANO</t>
  </si>
  <si>
    <t>BANK HOLIDAY</t>
  </si>
  <si>
    <t>KEY DAYS</t>
  </si>
  <si>
    <t>Reinaldo van mot</t>
  </si>
  <si>
    <t>Octavio hokiday</t>
  </si>
  <si>
    <t>Octavio holiday</t>
  </si>
  <si>
    <t>Emanuel MOT van</t>
  </si>
  <si>
    <t>Emanuel OFF</t>
  </si>
  <si>
    <t>Emanuel holiday</t>
  </si>
  <si>
    <t>Notes</t>
  </si>
  <si>
    <t>ROUTE NUMBERS AND DRIVERS RATES</t>
  </si>
  <si>
    <t>FRANCHISE</t>
  </si>
  <si>
    <t>ROUTE</t>
  </si>
  <si>
    <t>DR NUMBER</t>
  </si>
  <si>
    <t>VAN</t>
  </si>
  <si>
    <t>VAN COST</t>
  </si>
  <si>
    <t>DPD RATE</t>
  </si>
  <si>
    <t>DRIVER RATE</t>
  </si>
  <si>
    <t>FUEL</t>
  </si>
  <si>
    <t>FUEL CARD</t>
  </si>
  <si>
    <t>SPARE</t>
  </si>
  <si>
    <t>ELECTRIC</t>
  </si>
  <si>
    <t>N/A</t>
  </si>
  <si>
    <t>BULK</t>
  </si>
  <si>
    <t>DIESEL</t>
  </si>
  <si>
    <t>NO</t>
  </si>
  <si>
    <t>NATALIE</t>
  </si>
  <si>
    <t>BN1.5/6/7 SMALLS</t>
  </si>
  <si>
    <t>THIAGO</t>
  </si>
  <si>
    <t>BN1.6/7 SECOND</t>
  </si>
  <si>
    <t>DR 65457</t>
  </si>
  <si>
    <t>BN1.9</t>
  </si>
  <si>
    <t>BULK MPB</t>
  </si>
  <si>
    <t>REGINALDO</t>
  </si>
  <si>
    <t>FROM 13/10/26</t>
  </si>
  <si>
    <t>TEMPORARY</t>
  </si>
  <si>
    <t>EMANUEL</t>
  </si>
  <si>
    <t>BN1.5 SECOND</t>
  </si>
  <si>
    <t>BN1.6/7 EARLY</t>
  </si>
  <si>
    <t>TULIO</t>
  </si>
  <si>
    <t>KAUANN</t>
  </si>
  <si>
    <t>BN3.1/2 SECOND</t>
  </si>
  <si>
    <t>HENRRY</t>
  </si>
  <si>
    <t>BN11.1/3/4 SECOND</t>
  </si>
  <si>
    <t>JADERSON</t>
  </si>
  <si>
    <t>BN31.1/2 EARLY</t>
  </si>
  <si>
    <t>DANIEL K</t>
  </si>
  <si>
    <t>BN11.1/3/4 EARLY</t>
  </si>
  <si>
    <t>BN1.3 SECOND</t>
  </si>
  <si>
    <t>FD72458</t>
  </si>
  <si>
    <t>PAULO</t>
  </si>
  <si>
    <t>BRUNO</t>
  </si>
  <si>
    <t>CRAWLEY</t>
  </si>
  <si>
    <t>DR 09099</t>
  </si>
  <si>
    <t>DAVID</t>
  </si>
  <si>
    <t>MONDAY</t>
  </si>
  <si>
    <t>Franchise</t>
  </si>
  <si>
    <t>STOP TIME</t>
  </si>
  <si>
    <t>POST CODE</t>
  </si>
  <si>
    <t>EXTRA£</t>
  </si>
  <si>
    <t>COMENTS</t>
  </si>
  <si>
    <t>Tulio</t>
  </si>
  <si>
    <t>FD45028</t>
  </si>
  <si>
    <t>DAY RATE £250</t>
  </si>
  <si>
    <t>Reinaldo</t>
  </si>
  <si>
    <t>FD49693</t>
  </si>
  <si>
    <t>BN1.2</t>
  </si>
  <si>
    <t>Lucas</t>
  </si>
  <si>
    <t>FD77891</t>
  </si>
  <si>
    <t>BN1.3</t>
  </si>
  <si>
    <t>???</t>
  </si>
  <si>
    <t>Rafael</t>
  </si>
  <si>
    <t>FD51406</t>
  </si>
  <si>
    <t>OFF</t>
  </si>
  <si>
    <t>Thiago</t>
  </si>
  <si>
    <t>FD54330</t>
  </si>
  <si>
    <t>FD78242</t>
  </si>
  <si>
    <t>Natalie</t>
  </si>
  <si>
    <t>FD52639</t>
  </si>
  <si>
    <t>Emanuel</t>
  </si>
  <si>
    <t>FD77686</t>
  </si>
  <si>
    <t>BN1.5</t>
  </si>
  <si>
    <t>BN1.5/6/7</t>
  </si>
  <si>
    <t>Octavio</t>
  </si>
  <si>
    <t>FD54328</t>
  </si>
  <si>
    <t xml:space="preserve">DAY RATE £250 OR £2.50 </t>
  </si>
  <si>
    <t>Jaderson</t>
  </si>
  <si>
    <t>FD74820</t>
  </si>
  <si>
    <t xml:space="preserve">DAY RATE £250 OR £2.20 </t>
  </si>
  <si>
    <t>Kauann</t>
  </si>
  <si>
    <t>FD71764</t>
  </si>
  <si>
    <t>BN1.6/7/5</t>
  </si>
  <si>
    <t>Daniel K</t>
  </si>
  <si>
    <t>FD77890</t>
  </si>
  <si>
    <t>BN11.1/2</t>
  </si>
  <si>
    <t>Henrry</t>
  </si>
  <si>
    <t>FD72356</t>
  </si>
  <si>
    <t>BN11.3/4</t>
  </si>
  <si>
    <t>EXTRA RUN NEWHAVEN</t>
  </si>
  <si>
    <t>Ronaldo</t>
  </si>
  <si>
    <t>BN 1 BULK</t>
  </si>
  <si>
    <t>Luciano</t>
  </si>
  <si>
    <t>MPB</t>
  </si>
  <si>
    <t>Paulo</t>
  </si>
  <si>
    <t>TUESDAY</t>
  </si>
  <si>
    <t>EXTRA £</t>
  </si>
  <si>
    <t>BN3.1/2 EARLY</t>
  </si>
  <si>
    <t>DAY RATE £250 OR £2.20</t>
  </si>
  <si>
    <t xml:space="preserve">DAY RATE OR £2.20 </t>
  </si>
  <si>
    <t>DAY RATE</t>
  </si>
  <si>
    <t>HALF DAY RATE £1.25</t>
  </si>
  <si>
    <t>Reginaldo</t>
  </si>
  <si>
    <t>BULK/COLLECTIONS</t>
  </si>
  <si>
    <t>WEDNESDAY</t>
  </si>
  <si>
    <t>MPB james</t>
  </si>
  <si>
    <t>THURSDAY</t>
  </si>
  <si>
    <t>Bn1.5</t>
  </si>
  <si>
    <t>Off</t>
  </si>
  <si>
    <t>FRIDAY</t>
  </si>
  <si>
    <t>HALF DAY RATE £125</t>
  </si>
  <si>
    <t>SATURDAY</t>
  </si>
  <si>
    <t>BULK BN1</t>
  </si>
  <si>
    <t>BN3.1/2/3 EARLY</t>
  </si>
  <si>
    <t>SUNDAY</t>
  </si>
  <si>
    <t>BN1.6/7</t>
  </si>
  <si>
    <t>BN11.1/2/3/4</t>
  </si>
  <si>
    <t>DRIVER'S DETAILS</t>
  </si>
  <si>
    <t>DELIVERIES DETAILS</t>
  </si>
  <si>
    <t>EXTRA PAYMENTS</t>
  </si>
  <si>
    <t>DPD AGREED PRICE</t>
  </si>
  <si>
    <t>RECEIVED FROM DPD</t>
  </si>
  <si>
    <t>NOME</t>
  </si>
  <si>
    <t>STOPS</t>
  </si>
  <si>
    <t>AMOUNT</t>
  </si>
  <si>
    <t>EXTRA</t>
  </si>
  <si>
    <t>REASON</t>
  </si>
  <si>
    <t>PRICE</t>
  </si>
  <si>
    <t>STOPS PAID</t>
  </si>
  <si>
    <t>TOTAL AGREED</t>
  </si>
  <si>
    <t>FIRST RUN</t>
  </si>
  <si>
    <t>SEC. RUN</t>
  </si>
  <si>
    <t>EXTRA RUN</t>
  </si>
  <si>
    <t>TOP UP</t>
  </si>
  <si>
    <t>TOTAL PAID</t>
  </si>
  <si>
    <t>DIFERENCE</t>
  </si>
  <si>
    <t>START DATE</t>
  </si>
  <si>
    <t>FD NUMBER</t>
  </si>
  <si>
    <t>VAN REG</t>
  </si>
  <si>
    <t>VAT NUMBER</t>
  </si>
  <si>
    <t>TELEPHONE</t>
  </si>
  <si>
    <t>ADDRESS</t>
  </si>
  <si>
    <t>EMAIL</t>
  </si>
  <si>
    <t>BANK DETAILS</t>
  </si>
  <si>
    <t>EXTRA INFORMATION</t>
  </si>
  <si>
    <t>PAYMENT SUMMARY</t>
  </si>
  <si>
    <t>TOTAL</t>
  </si>
  <si>
    <t>TOTAL GROSS</t>
  </si>
  <si>
    <t>ADMIN FEE</t>
  </si>
  <si>
    <t>CHARGES AND DISCOUNTS</t>
  </si>
  <si>
    <t>TOTAL CHARGES</t>
  </si>
  <si>
    <t>TOTAL EX. VAT</t>
  </si>
  <si>
    <t>TOTAL INC. VAT</t>
  </si>
  <si>
    <t>PERIO FROM:</t>
  </si>
  <si>
    <t>TO:</t>
  </si>
  <si>
    <t>PAYMENT DATE</t>
  </si>
  <si>
    <t>ANY ADTIONAL COMMENTS:</t>
  </si>
  <si>
    <t>FD12354</t>
  </si>
  <si>
    <t>FD12355</t>
  </si>
  <si>
    <t>FD12356</t>
  </si>
  <si>
    <t>FD12357</t>
  </si>
  <si>
    <t>FD12358</t>
  </si>
  <si>
    <t>FD12235</t>
  </si>
  <si>
    <t>FD12236</t>
  </si>
  <si>
    <t>FD12237</t>
  </si>
  <si>
    <t>FD12238</t>
  </si>
  <si>
    <t>FD12239</t>
  </si>
  <si>
    <t>FD12240</t>
  </si>
  <si>
    <t>RONALDO LUIZ SILVA</t>
  </si>
  <si>
    <t>DR 85777</t>
  </si>
  <si>
    <t>MA22 XZY</t>
  </si>
  <si>
    <t>10 HURSTEN CLOSE, CRAWLEY, RH11 0HU</t>
  </si>
  <si>
    <t>ronaldouk@yahoo.com</t>
  </si>
  <si>
    <t>MONZO SORT CODE: 04-00-20 ACC:7545201100</t>
  </si>
  <si>
    <t>VAT @20%</t>
  </si>
  <si>
    <t>MISSING £220 FROM PREVIUS PERIOD PAYMENT</t>
  </si>
  <si>
    <t>DR 40399</t>
  </si>
  <si>
    <t>DR 85899</t>
  </si>
  <si>
    <t>DR 100799</t>
  </si>
  <si>
    <t>DR 80699</t>
  </si>
  <si>
    <t>DR 84199</t>
  </si>
  <si>
    <t>DR 105799</t>
  </si>
  <si>
    <t>DR 61299</t>
  </si>
  <si>
    <t>DR 19099</t>
  </si>
  <si>
    <t>DR 88699</t>
  </si>
  <si>
    <t>DR 85299</t>
  </si>
  <si>
    <t>DR 79599</t>
  </si>
  <si>
    <t>DR 79499</t>
  </si>
  <si>
    <t>DR 105199</t>
  </si>
  <si>
    <t>DR 06499</t>
  </si>
  <si>
    <t>DR 799199</t>
  </si>
  <si>
    <t>DA20 XYZ</t>
  </si>
  <si>
    <t>EA22 XYZ</t>
  </si>
  <si>
    <t>HX72 XYZ</t>
  </si>
  <si>
    <t>EO73 XCW</t>
  </si>
  <si>
    <t>KR73 XXV</t>
  </si>
  <si>
    <t>BU72 XXX</t>
  </si>
  <si>
    <t>HX72 GGG</t>
  </si>
  <si>
    <t>YB20 ZZA</t>
  </si>
  <si>
    <t>EF22 VVV</t>
  </si>
  <si>
    <t>KN22 MMM</t>
  </si>
  <si>
    <t>NX21 XXA</t>
  </si>
  <si>
    <t>EA22 RRR</t>
  </si>
  <si>
    <t>WX16 RRR</t>
  </si>
  <si>
    <t>MA22 TTT</t>
  </si>
  <si>
    <t>CN68 XYZ</t>
  </si>
  <si>
    <t>EO73 XYZ</t>
  </si>
  <si>
    <t>FD 45099</t>
  </si>
  <si>
    <t>FD 71799</t>
  </si>
  <si>
    <t>FD 72399</t>
  </si>
  <si>
    <t>FD 74899</t>
  </si>
  <si>
    <t>FD 77899</t>
  </si>
  <si>
    <t>FD 450989</t>
  </si>
  <si>
    <t>FD 78299</t>
  </si>
  <si>
    <t>FD 49699</t>
  </si>
  <si>
    <t>FD 51499</t>
  </si>
  <si>
    <t>FD 52699</t>
  </si>
  <si>
    <t>FD 54399</t>
  </si>
  <si>
    <t>FD 72499</t>
  </si>
  <si>
    <t>FD 77699</t>
  </si>
  <si>
    <t>Here I have evruthing that you need to know about how I get paid by DPD and how I pay my drivers.</t>
  </si>
  <si>
    <t>I need a calender where I can use for drivers sick or holiday, van mot/insurance/service</t>
  </si>
  <si>
    <t>choose payment method  by period of every 4 weeks, weekly, monthly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</si>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</sst>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164" formatCode="dd/mm/yyyy;@"/>
    <numFmt numFmtId="165" formatCode="dd/mm/yy;@"/>
    <numFmt numFmtId="166" formatCode="d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35"/>
      <color theme="1"/>
      <name val="Aptos Display"/>
      <family val="1"/>
      <scheme val="major"/>
    </font>
    <font>
      <sz val="35"/>
      <color theme="4"/>
      <name val="Aptos Narrow"/>
      <family val="2"/>
      <scheme val="minor"/>
    </font>
    <font>
      <sz val="11"/>
      <color theme="4" tint="-0.24994659260841701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  <font>
      <b/>
      <sz val="9"/>
      <color indexed="63"/>
      <name val="Aptos Narrow"/>
      <family val="2"/>
      <scheme val="minor"/>
    </font>
    <font>
      <b/>
      <sz val="11"/>
      <color indexed="63"/>
      <name val="Aptos Narrow"/>
      <family val="2"/>
      <scheme val="minor"/>
    </font>
    <font>
      <sz val="11"/>
      <color theme="1"/>
      <name val="Aptos Display"/>
      <family val="1"/>
      <scheme val="major"/>
    </font>
    <font>
      <b/>
      <sz val="11"/>
      <color theme="1" tint="0.34998626667073579"/>
      <name val="Aptos Narrow"/>
      <family val="2"/>
      <charset val="238"/>
      <scheme val="minor"/>
    </font>
    <font>
      <b/>
      <sz val="11"/>
      <color theme="1" tint="0.34998626667073579"/>
      <name val="Aptos Narrow"/>
      <family val="2"/>
      <scheme val="minor"/>
    </font>
    <font>
      <i/>
      <sz val="11"/>
      <color theme="1" tint="0.34998626667073579"/>
      <name val="Aptos Narrow"/>
      <family val="2"/>
      <charset val="238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 tint="-9.9978637043366805E-2"/>
      </right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0" fontId="7" fillId="3" borderId="0">
      <alignment vertical="center"/>
    </xf>
    <xf numFmtId="0" fontId="8" fillId="0" borderId="0" applyFill="0" applyBorder="0" applyProtection="0">
      <alignment vertical="center"/>
    </xf>
    <xf numFmtId="0" fontId="9" fillId="0" borderId="17" applyNumberFormat="0" applyFill="0" applyProtection="0">
      <alignment horizontal="left" vertical="center" indent="1"/>
    </xf>
    <xf numFmtId="0" fontId="10" fillId="0" borderId="0">
      <alignment vertical="top"/>
    </xf>
    <xf numFmtId="0" fontId="13" fillId="0" borderId="18">
      <alignment horizontal="left" vertical="center" indent="1"/>
    </xf>
    <xf numFmtId="166" fontId="14" fillId="0" borderId="0">
      <alignment horizontal="left" indent="1"/>
    </xf>
    <xf numFmtId="166" fontId="15" fillId="10" borderId="0">
      <alignment horizontal="left" wrapText="1" indent="1"/>
    </xf>
    <xf numFmtId="0" fontId="15" fillId="12" borderId="0" applyBorder="0" applyProtection="0">
      <alignment horizontal="left" vertical="top" wrapText="1" indent="1"/>
    </xf>
    <xf numFmtId="0" fontId="17" fillId="0" borderId="0" applyFill="0" applyBorder="0" applyProtection="0"/>
    <xf numFmtId="0" fontId="18" fillId="0" borderId="0" applyNumberFormat="0" applyFill="0" applyBorder="0" applyAlignment="0" applyProtection="0"/>
  </cellStyleXfs>
  <cellXfs count="275">
    <xf numFmtId="0" fontId="0" fillId="0" borderId="0" xfId="0"/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6" fillId="0" borderId="5" xfId="0" applyFont="1" applyBorder="1" applyAlignment="1">
      <alignment horizontal="center"/>
    </xf>
    <xf numFmtId="8" fontId="6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8" fontId="0" fillId="2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8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4" borderId="0" xfId="1" applyFill="1">
      <alignment vertical="center"/>
    </xf>
    <xf numFmtId="0" fontId="8" fillId="4" borderId="0" xfId="2" applyFill="1" applyBorder="1" applyAlignment="1">
      <alignment horizontal="left" vertical="center"/>
    </xf>
    <xf numFmtId="0" fontId="9" fillId="4" borderId="0" xfId="3" applyFill="1" applyBorder="1" applyAlignment="1">
      <alignment vertical="center"/>
    </xf>
    <xf numFmtId="0" fontId="8" fillId="4" borderId="0" xfId="2" applyFill="1" applyBorder="1" applyAlignment="1">
      <alignment horizontal="right" vertical="center"/>
    </xf>
    <xf numFmtId="0" fontId="10" fillId="0" borderId="0" xfId="4">
      <alignment vertical="top"/>
    </xf>
    <xf numFmtId="0" fontId="13" fillId="7" borderId="11" xfId="5" applyFill="1" applyBorder="1" applyAlignment="1">
      <alignment horizontal="center" vertical="center"/>
    </xf>
    <xf numFmtId="166" fontId="14" fillId="8" borderId="19" xfId="6" applyFill="1" applyBorder="1">
      <alignment horizontal="left" indent="1"/>
    </xf>
    <xf numFmtId="166" fontId="14" fillId="0" borderId="20" xfId="6" applyBorder="1">
      <alignment horizontal="left" indent="1"/>
    </xf>
    <xf numFmtId="166" fontId="14" fillId="0" borderId="19" xfId="6" applyBorder="1">
      <alignment horizontal="left" indent="1"/>
    </xf>
    <xf numFmtId="166" fontId="14" fillId="9" borderId="20" xfId="6" applyFill="1" applyBorder="1">
      <alignment horizontal="left" indent="1"/>
    </xf>
    <xf numFmtId="166" fontId="14" fillId="8" borderId="21" xfId="6" applyFill="1" applyBorder="1" applyAlignment="1">
      <alignment horizontal="left" vertical="center"/>
    </xf>
    <xf numFmtId="166" fontId="14" fillId="0" borderId="22" xfId="6" applyBorder="1" applyAlignment="1">
      <alignment horizontal="left" vertical="center"/>
    </xf>
    <xf numFmtId="166" fontId="14" fillId="0" borderId="21" xfId="6" applyBorder="1" applyAlignment="1">
      <alignment horizontal="left" vertical="center"/>
    </xf>
    <xf numFmtId="166" fontId="14" fillId="9" borderId="22" xfId="6" applyFill="1" applyBorder="1" applyAlignment="1">
      <alignment horizontal="left" vertical="center"/>
    </xf>
    <xf numFmtId="166" fontId="14" fillId="8" borderId="23" xfId="6" applyFill="1" applyBorder="1" applyAlignment="1">
      <alignment horizontal="left" vertical="center"/>
    </xf>
    <xf numFmtId="166" fontId="14" fillId="0" borderId="24" xfId="6" applyBorder="1" applyAlignment="1">
      <alignment horizontal="left" vertical="center"/>
    </xf>
    <xf numFmtId="166" fontId="14" fillId="0" borderId="23" xfId="6" applyBorder="1" applyAlignment="1">
      <alignment horizontal="left" vertical="center"/>
    </xf>
    <xf numFmtId="166" fontId="14" fillId="9" borderId="24" xfId="6" applyFill="1" applyBorder="1" applyAlignment="1">
      <alignment horizontal="left" vertical="center"/>
    </xf>
    <xf numFmtId="166" fontId="15" fillId="8" borderId="20" xfId="7" applyFill="1" applyBorder="1">
      <alignment horizontal="left" wrapText="1" indent="1"/>
    </xf>
    <xf numFmtId="166" fontId="15" fillId="10" borderId="20" xfId="7" applyBorder="1">
      <alignment horizontal="left" wrapText="1" indent="1"/>
    </xf>
    <xf numFmtId="166" fontId="15" fillId="9" borderId="20" xfId="7" applyFill="1" applyBorder="1">
      <alignment horizontal="left" wrapText="1" indent="1"/>
    </xf>
    <xf numFmtId="166" fontId="15" fillId="8" borderId="22" xfId="7" applyFill="1" applyBorder="1" applyAlignment="1">
      <alignment horizontal="left" vertical="center" wrapText="1"/>
    </xf>
    <xf numFmtId="166" fontId="15" fillId="10" borderId="22" xfId="7" applyBorder="1" applyAlignment="1">
      <alignment horizontal="left" vertical="center" wrapText="1"/>
    </xf>
    <xf numFmtId="166" fontId="15" fillId="9" borderId="22" xfId="7" applyFill="1" applyBorder="1" applyAlignment="1">
      <alignment horizontal="left" vertical="center" wrapText="1"/>
    </xf>
    <xf numFmtId="166" fontId="15" fillId="8" borderId="24" xfId="7" applyFill="1" applyBorder="1" applyAlignment="1">
      <alignment horizontal="left" vertical="center" wrapText="1"/>
    </xf>
    <xf numFmtId="166" fontId="15" fillId="10" borderId="24" xfId="7" applyBorder="1" applyAlignment="1">
      <alignment horizontal="left" vertical="center" wrapText="1"/>
    </xf>
    <xf numFmtId="166" fontId="15" fillId="9" borderId="24" xfId="7" applyFill="1" applyBorder="1" applyAlignment="1">
      <alignment horizontal="left" vertical="center" wrapText="1"/>
    </xf>
    <xf numFmtId="166" fontId="14" fillId="8" borderId="20" xfId="6" applyFill="1" applyBorder="1">
      <alignment horizontal="left" indent="1"/>
    </xf>
    <xf numFmtId="166" fontId="14" fillId="8" borderId="22" xfId="6" applyFill="1" applyBorder="1" applyAlignment="1">
      <alignment horizontal="left" vertical="center"/>
    </xf>
    <xf numFmtId="166" fontId="14" fillId="8" borderId="24" xfId="6" applyFill="1" applyBorder="1" applyAlignment="1">
      <alignment horizontal="left" vertical="center"/>
    </xf>
    <xf numFmtId="166" fontId="16" fillId="11" borderId="0" xfId="4" applyNumberFormat="1" applyFont="1" applyFill="1" applyAlignment="1">
      <alignment horizontal="left" indent="1"/>
    </xf>
    <xf numFmtId="166" fontId="16" fillId="11" borderId="0" xfId="4" applyNumberFormat="1" applyFont="1" applyFill="1" applyAlignment="1">
      <alignment horizontal="left" vertical="center"/>
    </xf>
    <xf numFmtId="0" fontId="15" fillId="11" borderId="26" xfId="8" applyFill="1" applyBorder="1" applyAlignment="1">
      <alignment horizontal="left" vertical="center" wrapText="1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8" fontId="2" fillId="0" borderId="11" xfId="0" applyNumberFormat="1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0" fontId="4" fillId="0" borderId="0" xfId="0" applyFont="1"/>
    <xf numFmtId="0" fontId="3" fillId="0" borderId="31" xfId="9" applyFont="1" applyBorder="1" applyAlignment="1">
      <alignment horizontal="left"/>
    </xf>
    <xf numFmtId="0" fontId="3" fillId="0" borderId="32" xfId="9" applyFont="1" applyBorder="1" applyAlignment="1">
      <alignment horizontal="left"/>
    </xf>
    <xf numFmtId="0" fontId="3" fillId="0" borderId="32" xfId="9" applyFont="1" applyBorder="1" applyAlignment="1">
      <alignment horizontal="center"/>
    </xf>
    <xf numFmtId="0" fontId="3" fillId="0" borderId="33" xfId="9" applyFont="1" applyBorder="1" applyAlignment="1">
      <alignment horizontal="left"/>
    </xf>
    <xf numFmtId="0" fontId="3" fillId="0" borderId="33" xfId="9" applyFont="1" applyBorder="1" applyAlignment="1">
      <alignment horizontal="center"/>
    </xf>
    <xf numFmtId="0" fontId="0" fillId="0" borderId="34" xfId="9" applyFont="1" applyFill="1" applyBorder="1" applyAlignment="1">
      <alignment horizontal="center"/>
    </xf>
    <xf numFmtId="0" fontId="1" fillId="0" borderId="24" xfId="9" applyFont="1" applyFill="1" applyBorder="1" applyAlignment="1">
      <alignment horizontal="center"/>
    </xf>
    <xf numFmtId="2" fontId="1" fillId="0" borderId="24" xfId="9" applyNumberFormat="1" applyFont="1" applyFill="1" applyBorder="1" applyAlignment="1">
      <alignment horizontal="center"/>
    </xf>
    <xf numFmtId="0" fontId="0" fillId="0" borderId="24" xfId="9" applyFont="1" applyFill="1" applyBorder="1" applyAlignment="1">
      <alignment horizontal="center"/>
    </xf>
    <xf numFmtId="8" fontId="1" fillId="0" borderId="23" xfId="9" applyNumberFormat="1" applyFont="1" applyFill="1" applyBorder="1" applyAlignment="1">
      <alignment horizontal="center"/>
    </xf>
    <xf numFmtId="0" fontId="0" fillId="0" borderId="23" xfId="9" applyFont="1" applyFill="1" applyBorder="1" applyAlignment="1">
      <alignment horizontal="center"/>
    </xf>
    <xf numFmtId="0" fontId="1" fillId="0" borderId="34" xfId="9" applyFont="1" applyFill="1" applyBorder="1" applyAlignment="1">
      <alignment horizontal="center"/>
    </xf>
    <xf numFmtId="0" fontId="1" fillId="14" borderId="34" xfId="9" applyFont="1" applyFill="1" applyBorder="1" applyAlignment="1">
      <alignment horizontal="center"/>
    </xf>
    <xf numFmtId="0" fontId="0" fillId="14" borderId="34" xfId="9" applyFont="1" applyFill="1" applyBorder="1" applyAlignment="1">
      <alignment horizontal="center"/>
    </xf>
    <xf numFmtId="0" fontId="1" fillId="14" borderId="24" xfId="9" applyFont="1" applyFill="1" applyBorder="1" applyAlignment="1">
      <alignment horizontal="center"/>
    </xf>
    <xf numFmtId="2" fontId="1" fillId="14" borderId="24" xfId="9" applyNumberFormat="1" applyFont="1" applyFill="1" applyBorder="1" applyAlignment="1">
      <alignment horizontal="center"/>
    </xf>
    <xf numFmtId="8" fontId="1" fillId="14" borderId="23" xfId="9" applyNumberFormat="1" applyFont="1" applyFill="1" applyBorder="1" applyAlignment="1">
      <alignment horizontal="center"/>
    </xf>
    <xf numFmtId="0" fontId="0" fillId="14" borderId="23" xfId="9" applyFont="1" applyFill="1" applyBorder="1" applyAlignment="1">
      <alignment horizontal="center"/>
    </xf>
    <xf numFmtId="0" fontId="1" fillId="0" borderId="35" xfId="9" applyFont="1" applyFill="1" applyBorder="1" applyAlignment="1">
      <alignment horizontal="center"/>
    </xf>
    <xf numFmtId="0" fontId="0" fillId="0" borderId="35" xfId="9" applyFont="1" applyFill="1" applyBorder="1" applyAlignment="1">
      <alignment horizontal="center"/>
    </xf>
    <xf numFmtId="0" fontId="1" fillId="0" borderId="11" xfId="9" applyFont="1" applyFill="1" applyBorder="1" applyAlignment="1">
      <alignment horizontal="center"/>
    </xf>
    <xf numFmtId="2" fontId="1" fillId="0" borderId="11" xfId="9" applyNumberFormat="1" applyFont="1" applyFill="1" applyBorder="1" applyAlignment="1">
      <alignment horizontal="center"/>
    </xf>
    <xf numFmtId="8" fontId="1" fillId="0" borderId="12" xfId="9" applyNumberFormat="1" applyFont="1" applyFill="1" applyBorder="1" applyAlignment="1">
      <alignment horizontal="center"/>
    </xf>
    <xf numFmtId="0" fontId="0" fillId="0" borderId="12" xfId="9" applyFont="1" applyFill="1" applyBorder="1" applyAlignment="1">
      <alignment horizontal="center"/>
    </xf>
    <xf numFmtId="0" fontId="1" fillId="0" borderId="12" xfId="9" applyFont="1" applyFill="1" applyBorder="1" applyAlignment="1">
      <alignment horizontal="center"/>
    </xf>
    <xf numFmtId="0" fontId="0" fillId="0" borderId="11" xfId="9" applyFont="1" applyFill="1" applyBorder="1" applyAlignment="1">
      <alignment horizontal="center"/>
    </xf>
    <xf numFmtId="2" fontId="0" fillId="0" borderId="11" xfId="9" applyNumberFormat="1" applyFont="1" applyFill="1" applyBorder="1" applyAlignment="1">
      <alignment horizontal="center"/>
    </xf>
    <xf numFmtId="0" fontId="1" fillId="14" borderId="35" xfId="9" applyFont="1" applyFill="1" applyBorder="1" applyAlignment="1">
      <alignment horizontal="center"/>
    </xf>
    <xf numFmtId="0" fontId="0" fillId="14" borderId="35" xfId="9" applyFont="1" applyFill="1" applyBorder="1" applyAlignment="1">
      <alignment horizontal="center"/>
    </xf>
    <xf numFmtId="0" fontId="1" fillId="14" borderId="11" xfId="9" applyFont="1" applyFill="1" applyBorder="1" applyAlignment="1">
      <alignment horizontal="center"/>
    </xf>
    <xf numFmtId="2" fontId="1" fillId="14" borderId="11" xfId="9" applyNumberFormat="1" applyFont="1" applyFill="1" applyBorder="1" applyAlignment="1">
      <alignment horizontal="center"/>
    </xf>
    <xf numFmtId="0" fontId="0" fillId="14" borderId="11" xfId="9" applyFont="1" applyFill="1" applyBorder="1" applyAlignment="1">
      <alignment horizontal="center"/>
    </xf>
    <xf numFmtId="8" fontId="1" fillId="14" borderId="12" xfId="9" applyNumberFormat="1" applyFont="1" applyFill="1" applyBorder="1" applyAlignment="1">
      <alignment horizontal="center"/>
    </xf>
    <xf numFmtId="0" fontId="0" fillId="14" borderId="12" xfId="9" applyFont="1" applyFill="1" applyBorder="1" applyAlignment="1">
      <alignment horizontal="center"/>
    </xf>
    <xf numFmtId="0" fontId="0" fillId="9" borderId="35" xfId="9" applyFont="1" applyFill="1" applyBorder="1" applyAlignment="1">
      <alignment horizontal="center"/>
    </xf>
    <xf numFmtId="0" fontId="1" fillId="9" borderId="11" xfId="9" applyFont="1" applyFill="1" applyBorder="1" applyAlignment="1">
      <alignment horizontal="center"/>
    </xf>
    <xf numFmtId="2" fontId="1" fillId="9" borderId="11" xfId="9" applyNumberFormat="1" applyFont="1" applyFill="1" applyBorder="1" applyAlignment="1">
      <alignment horizontal="center"/>
    </xf>
    <xf numFmtId="0" fontId="0" fillId="9" borderId="11" xfId="9" applyFont="1" applyFill="1" applyBorder="1" applyAlignment="1">
      <alignment horizontal="center"/>
    </xf>
    <xf numFmtId="8" fontId="1" fillId="9" borderId="12" xfId="9" applyNumberFormat="1" applyFont="1" applyFill="1" applyBorder="1" applyAlignment="1">
      <alignment horizontal="center"/>
    </xf>
    <xf numFmtId="0" fontId="1" fillId="9" borderId="12" xfId="9" applyFont="1" applyFill="1" applyBorder="1" applyAlignment="1">
      <alignment horizontal="center"/>
    </xf>
    <xf numFmtId="0" fontId="1" fillId="14" borderId="12" xfId="9" applyFont="1" applyFill="1" applyBorder="1" applyAlignment="1">
      <alignment horizontal="center"/>
    </xf>
    <xf numFmtId="0" fontId="0" fillId="15" borderId="35" xfId="9" applyFont="1" applyFill="1" applyBorder="1" applyAlignment="1">
      <alignment horizontal="center"/>
    </xf>
    <xf numFmtId="0" fontId="1" fillId="15" borderId="11" xfId="9" applyFont="1" applyFill="1" applyBorder="1" applyAlignment="1">
      <alignment horizontal="center"/>
    </xf>
    <xf numFmtId="2" fontId="1" fillId="15" borderId="11" xfId="9" applyNumberFormat="1" applyFont="1" applyFill="1" applyBorder="1" applyAlignment="1">
      <alignment horizontal="center"/>
    </xf>
    <xf numFmtId="0" fontId="0" fillId="15" borderId="11" xfId="9" applyFont="1" applyFill="1" applyBorder="1" applyAlignment="1">
      <alignment horizontal="center"/>
    </xf>
    <xf numFmtId="8" fontId="1" fillId="15" borderId="12" xfId="9" applyNumberFormat="1" applyFont="1" applyFill="1" applyBorder="1" applyAlignment="1">
      <alignment horizontal="center"/>
    </xf>
    <xf numFmtId="0" fontId="0" fillId="15" borderId="12" xfId="9" applyFont="1" applyFill="1" applyBorder="1" applyAlignment="1">
      <alignment horizontal="center"/>
    </xf>
    <xf numFmtId="0" fontId="1" fillId="15" borderId="35" xfId="9" applyFont="1" applyFill="1" applyBorder="1" applyAlignment="1">
      <alignment horizontal="center"/>
    </xf>
    <xf numFmtId="2" fontId="0" fillId="15" borderId="11" xfId="9" applyNumberFormat="1" applyFont="1" applyFill="1" applyBorder="1" applyAlignment="1">
      <alignment horizontal="center"/>
    </xf>
    <xf numFmtId="0" fontId="1" fillId="15" borderId="12" xfId="9" applyFont="1" applyFill="1" applyBorder="1" applyAlignment="1">
      <alignment horizontal="center"/>
    </xf>
    <xf numFmtId="0" fontId="1" fillId="0" borderId="36" xfId="9" applyFont="1" applyFill="1" applyBorder="1" applyAlignment="1">
      <alignment horizontal="center"/>
    </xf>
    <xf numFmtId="0" fontId="1" fillId="0" borderId="20" xfId="9" applyFont="1" applyFill="1" applyBorder="1" applyAlignment="1">
      <alignment horizontal="center"/>
    </xf>
    <xf numFmtId="8" fontId="1" fillId="0" borderId="19" xfId="9" applyNumberFormat="1" applyFont="1" applyFill="1" applyBorder="1" applyAlignment="1">
      <alignment horizontal="center"/>
    </xf>
    <xf numFmtId="0" fontId="1" fillId="0" borderId="19" xfId="9" applyFont="1" applyFill="1" applyBorder="1" applyAlignment="1">
      <alignment horizontal="center"/>
    </xf>
    <xf numFmtId="2" fontId="0" fillId="0" borderId="24" xfId="9" applyNumberFormat="1" applyFont="1" applyFill="1" applyBorder="1" applyAlignment="1">
      <alignment horizontal="center"/>
    </xf>
    <xf numFmtId="0" fontId="1" fillId="0" borderId="23" xfId="9" applyFont="1" applyFill="1" applyBorder="1" applyAlignment="1">
      <alignment horizontal="center"/>
    </xf>
    <xf numFmtId="0" fontId="1" fillId="16" borderId="35" xfId="9" applyFont="1" applyFill="1" applyBorder="1" applyAlignment="1">
      <alignment horizontal="center"/>
    </xf>
    <xf numFmtId="0" fontId="0" fillId="16" borderId="35" xfId="9" applyFont="1" applyFill="1" applyBorder="1" applyAlignment="1">
      <alignment horizontal="center"/>
    </xf>
    <xf numFmtId="0" fontId="0" fillId="16" borderId="11" xfId="9" applyFont="1" applyFill="1" applyBorder="1" applyAlignment="1">
      <alignment horizontal="center"/>
    </xf>
    <xf numFmtId="2" fontId="1" fillId="16" borderId="11" xfId="9" applyNumberFormat="1" applyFont="1" applyFill="1" applyBorder="1" applyAlignment="1">
      <alignment horizontal="center"/>
    </xf>
    <xf numFmtId="0" fontId="1" fillId="16" borderId="11" xfId="9" applyFont="1" applyFill="1" applyBorder="1" applyAlignment="1">
      <alignment horizontal="center"/>
    </xf>
    <xf numFmtId="8" fontId="1" fillId="16" borderId="12" xfId="9" applyNumberFormat="1" applyFont="1" applyFill="1" applyBorder="1" applyAlignment="1">
      <alignment horizontal="center"/>
    </xf>
    <xf numFmtId="0" fontId="0" fillId="16" borderId="12" xfId="9" applyFont="1" applyFill="1" applyBorder="1" applyAlignment="1">
      <alignment horizontal="center"/>
    </xf>
    <xf numFmtId="0" fontId="1" fillId="16" borderId="12" xfId="9" applyFont="1" applyFill="1" applyBorder="1" applyAlignment="1">
      <alignment horizontal="center"/>
    </xf>
    <xf numFmtId="0" fontId="3" fillId="0" borderId="31" xfId="9" applyFont="1" applyBorder="1" applyAlignment="1">
      <alignment horizontal="center"/>
    </xf>
    <xf numFmtId="0" fontId="0" fillId="18" borderId="37" xfId="0" applyFill="1" applyBorder="1"/>
    <xf numFmtId="0" fontId="0" fillId="18" borderId="38" xfId="0" applyFill="1" applyBorder="1"/>
    <xf numFmtId="0" fontId="0" fillId="18" borderId="39" xfId="0" applyFill="1" applyBorder="1"/>
    <xf numFmtId="0" fontId="0" fillId="19" borderId="38" xfId="0" applyFill="1" applyBorder="1"/>
    <xf numFmtId="0" fontId="0" fillId="19" borderId="39" xfId="0" applyFill="1" applyBorder="1"/>
    <xf numFmtId="0" fontId="0" fillId="18" borderId="40" xfId="0" applyFill="1" applyBorder="1"/>
    <xf numFmtId="0" fontId="0" fillId="18" borderId="0" xfId="0" applyFill="1"/>
    <xf numFmtId="0" fontId="0" fillId="18" borderId="41" xfId="0" applyFill="1" applyBorder="1"/>
    <xf numFmtId="0" fontId="0" fillId="19" borderId="41" xfId="0" applyFill="1" applyBorder="1"/>
    <xf numFmtId="0" fontId="0" fillId="0" borderId="40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16" fontId="0" fillId="0" borderId="46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8" fontId="0" fillId="0" borderId="23" xfId="0" applyNumberFormat="1" applyBorder="1" applyAlignment="1">
      <alignment horizontal="center"/>
    </xf>
    <xf numFmtId="8" fontId="0" fillId="0" borderId="47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14" fontId="0" fillId="0" borderId="48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8" fontId="0" fillId="0" borderId="49" xfId="0" applyNumberFormat="1" applyBorder="1" applyAlignment="1">
      <alignment horizontal="center" vertical="center"/>
    </xf>
    <xf numFmtId="8" fontId="0" fillId="0" borderId="22" xfId="0" applyNumberFormat="1" applyBorder="1" applyAlignment="1">
      <alignment horizontal="center" vertical="center"/>
    </xf>
    <xf numFmtId="8" fontId="0" fillId="0" borderId="50" xfId="0" applyNumberFormat="1" applyBorder="1" applyAlignment="1">
      <alignment horizontal="center" vertical="center"/>
    </xf>
    <xf numFmtId="8" fontId="0" fillId="0" borderId="48" xfId="0" applyNumberFormat="1" applyBorder="1" applyAlignment="1">
      <alignment horizontal="center" vertical="center"/>
    </xf>
    <xf numFmtId="8" fontId="0" fillId="0" borderId="41" xfId="0" applyNumberFormat="1" applyBorder="1" applyAlignment="1">
      <alignment horizontal="center" vertical="center"/>
    </xf>
    <xf numFmtId="8" fontId="0" fillId="0" borderId="12" xfId="0" applyNumberFormat="1" applyBorder="1" applyAlignment="1">
      <alignment horizontal="center"/>
    </xf>
    <xf numFmtId="8" fontId="0" fillId="0" borderId="13" xfId="0" applyNumberFormat="1" applyBorder="1" applyAlignment="1">
      <alignment horizontal="center"/>
    </xf>
    <xf numFmtId="0" fontId="20" fillId="0" borderId="49" xfId="0" applyFont="1" applyBorder="1" applyAlignment="1">
      <alignment horizontal="center" vertical="center"/>
    </xf>
    <xf numFmtId="8" fontId="20" fillId="0" borderId="49" xfId="0" applyNumberFormat="1" applyFont="1" applyBorder="1" applyAlignment="1">
      <alignment horizontal="center" vertical="center"/>
    </xf>
    <xf numFmtId="8" fontId="6" fillId="0" borderId="22" xfId="0" applyNumberFormat="1" applyFont="1" applyBorder="1" applyAlignment="1">
      <alignment horizontal="center" vertical="center"/>
    </xf>
    <xf numFmtId="14" fontId="0" fillId="15" borderId="48" xfId="0" applyNumberFormat="1" applyFill="1" applyBorder="1" applyAlignment="1">
      <alignment horizontal="center" vertical="center"/>
    </xf>
    <xf numFmtId="0" fontId="0" fillId="15" borderId="49" xfId="0" applyFill="1" applyBorder="1" applyAlignment="1">
      <alignment horizontal="center" vertical="center"/>
    </xf>
    <xf numFmtId="8" fontId="0" fillId="15" borderId="49" xfId="0" applyNumberFormat="1" applyFill="1" applyBorder="1" applyAlignment="1">
      <alignment horizontal="center" vertical="center"/>
    </xf>
    <xf numFmtId="8" fontId="0" fillId="15" borderId="22" xfId="0" applyNumberFormat="1" applyFill="1" applyBorder="1" applyAlignment="1">
      <alignment horizontal="center" vertical="center"/>
    </xf>
    <xf numFmtId="8" fontId="0" fillId="15" borderId="50" xfId="0" applyNumberFormat="1" applyFill="1" applyBorder="1" applyAlignment="1">
      <alignment horizontal="center" vertical="center"/>
    </xf>
    <xf numFmtId="8" fontId="0" fillId="15" borderId="48" xfId="0" applyNumberFormat="1" applyFill="1" applyBorder="1" applyAlignment="1">
      <alignment horizontal="center" vertical="center"/>
    </xf>
    <xf numFmtId="8" fontId="0" fillId="15" borderId="41" xfId="0" applyNumberFormat="1" applyFill="1" applyBorder="1" applyAlignment="1">
      <alignment horizontal="center" vertical="center"/>
    </xf>
    <xf numFmtId="16" fontId="21" fillId="0" borderId="46" xfId="0" applyNumberFormat="1" applyFont="1" applyBorder="1" applyAlignment="1">
      <alignment horizontal="center"/>
    </xf>
    <xf numFmtId="14" fontId="21" fillId="0" borderId="48" xfId="0" applyNumberFormat="1" applyFont="1" applyBorder="1" applyAlignment="1">
      <alignment horizontal="center" vertical="center"/>
    </xf>
    <xf numFmtId="16" fontId="2" fillId="0" borderId="46" xfId="0" applyNumberFormat="1" applyFont="1" applyBorder="1" applyAlignment="1">
      <alignment horizontal="center"/>
    </xf>
    <xf numFmtId="14" fontId="2" fillId="0" borderId="48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" xfId="0" applyBorder="1" applyAlignment="1">
      <alignment horizontal="center"/>
    </xf>
    <xf numFmtId="8" fontId="0" fillId="2" borderId="52" xfId="0" applyNumberFormat="1" applyFill="1" applyBorder="1" applyAlignment="1">
      <alignment horizontal="center"/>
    </xf>
    <xf numFmtId="0" fontId="0" fillId="2" borderId="40" xfId="0" applyFill="1" applyBorder="1"/>
    <xf numFmtId="0" fontId="0" fillId="20" borderId="40" xfId="0" applyFill="1" applyBorder="1"/>
    <xf numFmtId="0" fontId="0" fillId="0" borderId="1" xfId="0" applyBorder="1" applyAlignment="1">
      <alignment horizontal="center"/>
    </xf>
    <xf numFmtId="0" fontId="22" fillId="0" borderId="51" xfId="0" applyFont="1" applyBorder="1"/>
    <xf numFmtId="0" fontId="22" fillId="17" borderId="12" xfId="0" applyFont="1" applyFill="1" applyBorder="1" applyAlignment="1">
      <alignment horizontal="left"/>
    </xf>
    <xf numFmtId="164" fontId="22" fillId="17" borderId="54" xfId="0" applyNumberFormat="1" applyFont="1" applyFill="1" applyBorder="1" applyAlignment="1">
      <alignment horizontal="center"/>
    </xf>
    <xf numFmtId="0" fontId="22" fillId="17" borderId="54" xfId="0" applyFont="1" applyFill="1" applyBorder="1" applyAlignment="1">
      <alignment horizontal="right"/>
    </xf>
    <xf numFmtId="0" fontId="0" fillId="0" borderId="38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8" fontId="0" fillId="0" borderId="57" xfId="0" applyNumberFormat="1" applyBorder="1" applyAlignment="1">
      <alignment horizontal="center"/>
    </xf>
    <xf numFmtId="8" fontId="0" fillId="20" borderId="53" xfId="0" applyNumberFormat="1" applyFill="1" applyBorder="1" applyAlignment="1">
      <alignment horizontal="center"/>
    </xf>
    <xf numFmtId="14" fontId="0" fillId="0" borderId="58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8" fontId="0" fillId="0" borderId="31" xfId="0" applyNumberFormat="1" applyBorder="1" applyAlignment="1">
      <alignment horizontal="center"/>
    </xf>
    <xf numFmtId="8" fontId="0" fillId="0" borderId="32" xfId="0" applyNumberFormat="1" applyBorder="1" applyAlignment="1">
      <alignment horizontal="center"/>
    </xf>
    <xf numFmtId="8" fontId="0" fillId="0" borderId="59" xfId="0" applyNumberFormat="1" applyBorder="1" applyAlignment="1">
      <alignment horizontal="center" vertical="center"/>
    </xf>
    <xf numFmtId="8" fontId="0" fillId="0" borderId="58" xfId="0" applyNumberFormat="1" applyBorder="1" applyAlignment="1">
      <alignment horizontal="center"/>
    </xf>
    <xf numFmtId="8" fontId="0" fillId="0" borderId="16" xfId="0" applyNumberFormat="1" applyBorder="1" applyAlignment="1">
      <alignment horizontal="center"/>
    </xf>
    <xf numFmtId="0" fontId="0" fillId="18" borderId="14" xfId="0" applyFill="1" applyBorder="1"/>
    <xf numFmtId="0" fontId="0" fillId="18" borderId="15" xfId="0" applyFill="1" applyBorder="1"/>
    <xf numFmtId="0" fontId="0" fillId="18" borderId="16" xfId="0" applyFill="1" applyBorder="1"/>
    <xf numFmtId="0" fontId="0" fillId="19" borderId="15" xfId="0" applyFill="1" applyBorder="1"/>
    <xf numFmtId="0" fontId="0" fillId="19" borderId="16" xfId="0" applyFill="1" applyBorder="1"/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4" fillId="15" borderId="28" xfId="9" applyFont="1" applyFill="1" applyBorder="1" applyAlignment="1">
      <alignment horizontal="center"/>
    </xf>
    <xf numFmtId="0" fontId="4" fillId="15" borderId="29" xfId="9" applyFont="1" applyFill="1" applyBorder="1" applyAlignment="1">
      <alignment horizontal="center"/>
    </xf>
    <xf numFmtId="14" fontId="4" fillId="15" borderId="29" xfId="9" applyNumberFormat="1" applyFont="1" applyFill="1" applyBorder="1" applyAlignment="1">
      <alignment horizontal="center"/>
    </xf>
    <xf numFmtId="14" fontId="4" fillId="15" borderId="30" xfId="9" applyNumberFormat="1" applyFont="1" applyFill="1" applyBorder="1" applyAlignment="1">
      <alignment horizontal="center"/>
    </xf>
    <xf numFmtId="0" fontId="4" fillId="13" borderId="28" xfId="9" applyFont="1" applyFill="1" applyBorder="1" applyAlignment="1">
      <alignment horizontal="center"/>
    </xf>
    <xf numFmtId="0" fontId="4" fillId="13" borderId="29" xfId="9" applyFont="1" applyFill="1" applyBorder="1" applyAlignment="1">
      <alignment horizontal="center"/>
    </xf>
    <xf numFmtId="14" fontId="4" fillId="13" borderId="29" xfId="9" applyNumberFormat="1" applyFont="1" applyFill="1" applyBorder="1" applyAlignment="1">
      <alignment horizontal="center"/>
    </xf>
    <xf numFmtId="14" fontId="4" fillId="13" borderId="30" xfId="9" applyNumberFormat="1" applyFont="1" applyFill="1" applyBorder="1" applyAlignment="1">
      <alignment horizontal="center"/>
    </xf>
    <xf numFmtId="0" fontId="4" fillId="17" borderId="28" xfId="9" applyFont="1" applyFill="1" applyBorder="1" applyAlignment="1">
      <alignment horizontal="center"/>
    </xf>
    <xf numFmtId="0" fontId="4" fillId="17" borderId="29" xfId="9" applyFont="1" applyFill="1" applyBorder="1" applyAlignment="1">
      <alignment horizontal="center"/>
    </xf>
    <xf numFmtId="14" fontId="4" fillId="17" borderId="29" xfId="9" applyNumberFormat="1" applyFont="1" applyFill="1" applyBorder="1" applyAlignment="1">
      <alignment horizontal="center"/>
    </xf>
    <xf numFmtId="14" fontId="4" fillId="17" borderId="30" xfId="9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1" fillId="5" borderId="0" xfId="4" applyFont="1" applyFill="1" applyAlignment="1">
      <alignment horizontal="center" vertical="top" textRotation="45"/>
    </xf>
    <xf numFmtId="0" fontId="12" fillId="6" borderId="0" xfId="4" applyFont="1" applyFill="1" applyAlignment="1">
      <alignment horizontal="center" vertical="top" textRotation="45"/>
    </xf>
    <xf numFmtId="0" fontId="10" fillId="11" borderId="0" xfId="4" applyFill="1">
      <alignment vertical="top"/>
    </xf>
    <xf numFmtId="0" fontId="10" fillId="11" borderId="25" xfId="4" applyFill="1" applyBorder="1">
      <alignment vertical="top"/>
    </xf>
    <xf numFmtId="0" fontId="10" fillId="11" borderId="26" xfId="4" applyFill="1" applyBorder="1">
      <alignment vertical="top"/>
    </xf>
    <xf numFmtId="0" fontId="10" fillId="11" borderId="27" xfId="4" applyFill="1" applyBorder="1">
      <alignment vertical="top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4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5" xfId="0" applyBorder="1" applyAlignment="1">
      <alignment horizontal="center"/>
    </xf>
    <xf numFmtId="8" fontId="23" fillId="0" borderId="5" xfId="0" applyNumberFormat="1" applyFont="1" applyBorder="1" applyAlignment="1">
      <alignment horizontal="left"/>
    </xf>
    <xf numFmtId="8" fontId="23" fillId="0" borderId="53" xfId="0" applyNumberFormat="1" applyFont="1" applyBorder="1" applyAlignment="1">
      <alignment horizontal="left"/>
    </xf>
    <xf numFmtId="8" fontId="0" fillId="18" borderId="0" xfId="0" applyNumberFormat="1" applyFill="1" applyAlignment="1">
      <alignment horizontal="left"/>
    </xf>
    <xf numFmtId="164" fontId="22" fillId="17" borderId="54" xfId="0" applyNumberFormat="1" applyFont="1" applyFill="1" applyBorder="1" applyAlignment="1">
      <alignment horizontal="center"/>
    </xf>
    <xf numFmtId="164" fontId="22" fillId="17" borderId="35" xfId="0" applyNumberFormat="1" applyFont="1" applyFill="1" applyBorder="1" applyAlignment="1">
      <alignment horizontal="center"/>
    </xf>
    <xf numFmtId="0" fontId="24" fillId="9" borderId="19" xfId="0" applyFont="1" applyFill="1" applyBorder="1" applyAlignment="1">
      <alignment horizontal="center" vertical="center"/>
    </xf>
    <xf numFmtId="0" fontId="24" fillId="9" borderId="33" xfId="0" applyFont="1" applyFill="1" applyBorder="1" applyAlignment="1">
      <alignment horizontal="center" vertical="center"/>
    </xf>
    <xf numFmtId="14" fontId="24" fillId="9" borderId="36" xfId="0" applyNumberFormat="1" applyFont="1" applyFill="1" applyBorder="1" applyAlignment="1">
      <alignment horizontal="center" vertical="center"/>
    </xf>
    <xf numFmtId="14" fontId="24" fillId="9" borderId="31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8" fontId="0" fillId="2" borderId="0" xfId="0" applyNumberFormat="1" applyFill="1" applyAlignment="1">
      <alignment horizontal="left"/>
    </xf>
    <xf numFmtId="8" fontId="0" fillId="2" borderId="41" xfId="0" applyNumberFormat="1" applyFill="1" applyBorder="1" applyAlignment="1">
      <alignment horizontal="left"/>
    </xf>
    <xf numFmtId="8" fontId="0" fillId="0" borderId="0" xfId="0" applyNumberFormat="1" applyAlignment="1">
      <alignment horizontal="left"/>
    </xf>
    <xf numFmtId="8" fontId="0" fillId="0" borderId="41" xfId="0" applyNumberFormat="1" applyBorder="1" applyAlignment="1">
      <alignment horizontal="left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8" fontId="0" fillId="20" borderId="0" xfId="0" applyNumberFormat="1" applyFill="1" applyAlignment="1">
      <alignment horizontal="left"/>
    </xf>
    <xf numFmtId="8" fontId="0" fillId="20" borderId="4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41" xfId="0" applyBorder="1" applyAlignment="1">
      <alignment horizontal="left"/>
    </xf>
    <xf numFmtId="0" fontId="18" fillId="0" borderId="0" xfId="10" applyBorder="1" applyAlignment="1">
      <alignment horizontal="left"/>
    </xf>
    <xf numFmtId="0" fontId="18" fillId="0" borderId="41" xfId="10" applyBorder="1" applyAlignment="1">
      <alignment horizontal="left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17" borderId="37" xfId="0" applyFont="1" applyFill="1" applyBorder="1" applyAlignment="1">
      <alignment horizontal="center" vertical="center"/>
    </xf>
    <xf numFmtId="0" fontId="3" fillId="17" borderId="38" xfId="0" applyFont="1" applyFill="1" applyBorder="1" applyAlignment="1">
      <alignment horizontal="center" vertical="center"/>
    </xf>
    <xf numFmtId="0" fontId="3" fillId="17" borderId="39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41" xfId="0" applyFont="1" applyBorder="1" applyAlignment="1">
      <alignment horizontal="left"/>
    </xf>
  </cellXfs>
  <cellStyles count="11">
    <cellStyle name="Banded" xfId="7" xr:uid="{A9EAD7D5-B250-4550-87A0-7308D3F4D101}"/>
    <cellStyle name="Day" xfId="6" xr:uid="{5A044C71-A906-4F95-A59E-D63C880AFEE7}"/>
    <cellStyle name="Day-Name" xfId="5" xr:uid="{C4E43F55-AB7C-4A13-B077-6D653E8E2AB8}"/>
    <cellStyle name="Heading 1 2" xfId="3" xr:uid="{95368FC8-2C79-40B4-A9F0-33B2AFCF0FB4}"/>
    <cellStyle name="Heading 4 2" xfId="8" xr:uid="{8B1E96C1-DEBC-40C9-AC82-C4134A3E0C55}"/>
    <cellStyle name="Hyperlink" xfId="10" builtinId="8"/>
    <cellStyle name="Month" xfId="1" xr:uid="{B51DD965-6028-41F7-BBE4-25531528CFB9}"/>
    <cellStyle name="Normal" xfId="0" builtinId="0"/>
    <cellStyle name="Normal 2" xfId="4" xr:uid="{CA27AA67-ED18-44AF-9944-384CA80BEED2}"/>
    <cellStyle name="Normal 2 2" xfId="9" xr:uid="{77409CD2-41D6-474D-95CC-B28FF93FC564}"/>
    <cellStyle name="Title 2" xfId="2" xr:uid="{BAE5511B-0531-483D-9A1F-CF094DDBD667}"/>
  </cellStyles>
  <dxfs count="31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numFmt numFmtId="12" formatCode="&quot;£&quot;#,##0.00;[Red]\-&quot;£&quot;#,##0.00"/>
      <alignment horizontal="center" vertical="center" textRotation="0" wrapText="0" indent="0" justifyLastLine="0" shrinkToFit="0" readingOrder="0"/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2" formatCode="&quot;£&quot;#,##0.00;[Red]\-&quot;£&quot;#,##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horizontal/>
      </border>
    </dxf>
    <dxf>
      <border outline="0">
        <top style="medium">
          <color rgb="FF000000"/>
        </top>
      </border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£&quot;#,##0.00;[Red]\-&quot;£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1f7cf8fcfa60fa0/Desktop/DPD/Finances/Holiday%20Calendar.xlsx" TargetMode="External"/><Relationship Id="rId1" Type="http://schemas.openxmlformats.org/officeDocument/2006/relationships/externalLinkPath" Target="DPD/Finances/Holiday%20Calend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</sheetNames>
    <sheetDataSet>
      <sheetData sheetId="0">
        <row r="6">
          <cell r="K6">
            <v>2026</v>
          </cell>
        </row>
        <row r="7">
          <cell r="K7" t="str">
            <v>SUNDAY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B5381-237F-4BE1-BC09-0BE1ADAB7919}" name="Table17" displayName="Table17" ref="B25:H45" totalsRowShown="0" headerRowDxfId="313" dataDxfId="311" headerRowBorderDxfId="312" tableBorderDxfId="310" headerRowCellStyle="Normal 2" dataCellStyle="Normal 2">
  <autoFilter ref="B25:H45" xr:uid="{5D0A41AC-AFFF-49B0-B5EA-EC153EDA13B9}"/>
  <sortState xmlns:xlrd2="http://schemas.microsoft.com/office/spreadsheetml/2017/richdata2" ref="B26:H45">
    <sortCondition ref="D25:D45"/>
  </sortState>
  <tableColumns count="7">
    <tableColumn id="1" xr3:uid="{5430B735-490A-462E-A533-EFBE23E013EA}" name="DRIVER" dataDxfId="309" dataCellStyle="Normal 2"/>
    <tableColumn id="2" xr3:uid="{E843E5D6-2741-4B76-9D93-809A83B767F1}" name="Franchise" dataDxfId="308" dataCellStyle="Normal 2"/>
    <tableColumn id="3" xr3:uid="{A8553D47-32A1-4CF0-B516-B6181B44CFBE}" name="ROUTE" dataDxfId="307" dataCellStyle="Normal 2"/>
    <tableColumn id="4" xr3:uid="{21415D4D-ADB9-4908-A12F-24F23228F8C5}" name="STOP TIME" dataDxfId="306" dataCellStyle="Normal 2"/>
    <tableColumn id="5" xr3:uid="{03075108-1E7B-4DAC-A461-48098F83807B}" name="POST CODE" dataDxfId="305" dataCellStyle="Normal 2"/>
    <tableColumn id="6" xr3:uid="{552FD09D-E11B-4CA5-B011-1B965097D5C8}" name="EXTRA £" dataDxfId="304" dataCellStyle="Normal 2"/>
    <tableColumn id="7" xr3:uid="{45E48F04-A0CB-4D0A-8D5A-3CB02B4BDCA3}" name="COMENTS" dataDxfId="303" dataCellStyle="Normal 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E475DB-6175-4283-B569-5CA7BE2CAB64}" name="Table28" displayName="Table28" ref="B47:H67" totalsRowShown="0" headerRowDxfId="302" dataDxfId="300" headerRowBorderDxfId="301" tableBorderDxfId="299" headerRowCellStyle="Normal 2" dataCellStyle="Normal 2">
  <autoFilter ref="B47:H67" xr:uid="{70BD316D-5812-4D97-8BB8-6820C4E28B84}"/>
  <sortState xmlns:xlrd2="http://schemas.microsoft.com/office/spreadsheetml/2017/richdata2" ref="B48:H67">
    <sortCondition ref="D47:D67"/>
  </sortState>
  <tableColumns count="7">
    <tableColumn id="1" xr3:uid="{1029D2A7-A6C2-45F2-8B88-B56D87E50ECE}" name="DRIVER" dataDxfId="298" dataCellStyle="Normal 2"/>
    <tableColumn id="2" xr3:uid="{3EF26129-FBDE-4427-B5D0-A671FDD9ECA4}" name="Franchise" dataDxfId="297" dataCellStyle="Normal 2"/>
    <tableColumn id="3" xr3:uid="{E5C57168-2FAE-4F83-A453-ACF2648BCCAB}" name="ROUTE" dataDxfId="296" dataCellStyle="Normal 2"/>
    <tableColumn id="4" xr3:uid="{376CE16A-36C8-49C4-A819-6BE9FA736F0D}" name="STOP TIME" dataDxfId="295" dataCellStyle="Normal 2"/>
    <tableColumn id="5" xr3:uid="{7EA89DE9-5128-4DAC-9F77-CFC43F63B0BE}" name="POST CODE" dataDxfId="294" dataCellStyle="Normal 2"/>
    <tableColumn id="6" xr3:uid="{05E8A388-1F7A-47B6-8D20-794357FFFD45}" name="EXTRA £" dataDxfId="293" dataCellStyle="Normal 2"/>
    <tableColumn id="7" xr3:uid="{7921F1E2-A222-46A5-BC78-A6783FE7BC50}" name="COMENTS" dataDxfId="292" dataCellStyle="Normal 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A327FA-9E28-4C19-AA93-351064F98672}" name="Table310" displayName="Table310" ref="B3:H23" totalsRowShown="0" headerRowDxfId="291" headerRowBorderDxfId="290" tableBorderDxfId="289" headerRowCellStyle="Normal 2">
  <autoFilter ref="B3:H23" xr:uid="{CDC704C7-B294-4FA2-8D59-691EE2559F81}"/>
  <sortState xmlns:xlrd2="http://schemas.microsoft.com/office/spreadsheetml/2017/richdata2" ref="B4:H23">
    <sortCondition ref="C3:C23"/>
  </sortState>
  <tableColumns count="7">
    <tableColumn id="1" xr3:uid="{87A050C1-9AC6-4494-8584-F57DA76417F8}" name="DRIVER"/>
    <tableColumn id="2" xr3:uid="{562A4CF8-0DBD-4F83-9824-1674C5367E22}" name="Franchise"/>
    <tableColumn id="3" xr3:uid="{3ECD2AAC-4E5E-4F1F-86FD-2F1326038A02}" name="ROUTE"/>
    <tableColumn id="4" xr3:uid="{51002981-D03D-4F1F-ACF2-8A664A87ACFD}" name="STOP TIME"/>
    <tableColumn id="5" xr3:uid="{0D834BEC-D9EE-4BC6-8DFB-81F95B9594D6}" name="POST CODE"/>
    <tableColumn id="6" xr3:uid="{257E40A2-AD0C-4D50-A421-A0CF433F2B89}" name="EXTRA£"/>
    <tableColumn id="7" xr3:uid="{8761C4C9-F218-40C5-9784-3C43CBD79592}" name="COMENT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B044A0-A195-430B-ADF1-8DFCAB8F05DE}" name="Table410" displayName="Table410" ref="B113:H133" totalsRowShown="0" headerRowDxfId="288" headerRowBorderDxfId="287" tableBorderDxfId="286" headerRowCellStyle="Normal 2">
  <autoFilter ref="B113:H133" xr:uid="{DAA6297B-9D49-4EB6-9DCD-CDDD683E9106}"/>
  <sortState xmlns:xlrd2="http://schemas.microsoft.com/office/spreadsheetml/2017/richdata2" ref="B114:H133">
    <sortCondition ref="D113:D133"/>
  </sortState>
  <tableColumns count="7">
    <tableColumn id="1" xr3:uid="{8F5B5385-8407-4B4C-B07E-C53645A5E0B0}" name="DRIVER" dataDxfId="285" dataCellStyle="Normal 2"/>
    <tableColumn id="2" xr3:uid="{3BB1A367-C1FB-4558-A1B6-D0F012E5B6B9}" name="Franchise" dataDxfId="284" dataCellStyle="Normal 2"/>
    <tableColumn id="3" xr3:uid="{E10D45CE-1BC9-4455-B28C-1B28AC7E562A}" name="ROUTE" dataDxfId="283" dataCellStyle="Normal 2"/>
    <tableColumn id="4" xr3:uid="{3D25BA78-2F02-492E-8A0F-CDD3F14B3776}" name="STOP TIME" dataDxfId="282" dataCellStyle="Normal 2"/>
    <tableColumn id="5" xr3:uid="{7A388141-9425-47C2-9A41-EBFD1C994C3A}" name="POST CODE" dataDxfId="281" dataCellStyle="Normal 2"/>
    <tableColumn id="6" xr3:uid="{08499D67-D0CB-4142-A635-C1BEDC491F74}" name="EXTRA £" dataDxfId="280" dataCellStyle="Normal 2"/>
    <tableColumn id="7" xr3:uid="{EDD2B4A3-65EA-495B-8A48-FDCAF10B0E1F}" name="COMENTS" dataDxfId="279" dataCellStyle="Normal 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157D7-95BC-4011-97F6-C4D4DE25DE13}" name="Table511" displayName="Table511" ref="B135:H155" totalsRowShown="0" headerRowDxfId="278" headerRowBorderDxfId="277" tableBorderDxfId="276" headerRowCellStyle="Normal 2">
  <autoFilter ref="B135:H155" xr:uid="{AA1B7DD1-84BE-496C-96EB-B89573D257F3}"/>
  <sortState xmlns:xlrd2="http://schemas.microsoft.com/office/spreadsheetml/2017/richdata2" ref="B136:H155">
    <sortCondition ref="D135:D155"/>
  </sortState>
  <tableColumns count="7">
    <tableColumn id="1" xr3:uid="{7E2A547F-62BE-49B0-9475-AF9EE0B36C20}" name="DRIVER" dataDxfId="275" dataCellStyle="Normal 2"/>
    <tableColumn id="2" xr3:uid="{9477D895-D077-491E-AA71-247E19C0F0EC}" name="Franchise" dataDxfId="274" dataCellStyle="Normal 2"/>
    <tableColumn id="3" xr3:uid="{ED60E382-ACAF-4A4F-9169-3D92BBE1DA5C}" name="ROUTE" dataDxfId="273" dataCellStyle="Normal 2"/>
    <tableColumn id="4" xr3:uid="{4799FD62-2CB9-48AF-B4C2-5223C25961A7}" name="STOP TIME" dataDxfId="272" dataCellStyle="Normal 2"/>
    <tableColumn id="5" xr3:uid="{67BC9FEA-EF62-47AB-8DF2-5CD8E4F1CC69}" name="POST CODE" dataDxfId="271" dataCellStyle="Normal 2"/>
    <tableColumn id="6" xr3:uid="{7768381A-B2DC-4B8E-B485-762761A1E5AC}" name="EXTRA £" dataDxfId="270" dataCellStyle="Normal 2"/>
    <tableColumn id="7" xr3:uid="{654F3DAB-150E-48CA-A319-EA7F05B55348}" name="COMENTS" dataDxfId="269" dataCellStyle="Normal 2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29CF67-CD6B-435A-85C0-6238355E1837}" name="Table11217" displayName="Table11217" ref="J25:P45" totalsRowShown="0" headerRowDxfId="268" headerRowBorderDxfId="267" tableBorderDxfId="266" headerRowCellStyle="Normal 2">
  <autoFilter ref="J25:P45" xr:uid="{2D8050E6-AD36-42AC-A5C0-DD4D7221742C}"/>
  <sortState xmlns:xlrd2="http://schemas.microsoft.com/office/spreadsheetml/2017/richdata2" ref="J26:P45">
    <sortCondition ref="L25:L45"/>
  </sortState>
  <tableColumns count="7">
    <tableColumn id="1" xr3:uid="{EE2DC535-52CD-40F6-8CB4-BE8A2464AD2F}" name="DRIVER" dataDxfId="265" dataCellStyle="Normal 2"/>
    <tableColumn id="2" xr3:uid="{4DBCED3E-897B-48A7-9615-1FB9949B1B86}" name="Franchise" dataDxfId="264" dataCellStyle="Normal 2"/>
    <tableColumn id="3" xr3:uid="{9662D292-3F4C-47D5-B67C-93A5E2F935BD}" name="ROUTE" dataDxfId="263" dataCellStyle="Normal 2"/>
    <tableColumn id="4" xr3:uid="{52E177F8-83AE-438D-8B07-253678B329C6}" name="STOP TIME" dataDxfId="262" dataCellStyle="Normal 2"/>
    <tableColumn id="5" xr3:uid="{533B7446-8530-470A-9995-FC06D485B3A6}" name="POST CODE" dataDxfId="261" dataCellStyle="Normal 2"/>
    <tableColumn id="6" xr3:uid="{4E35AE7B-B978-4067-93CF-0406CB34E145}" name="EXTRA £" dataDxfId="260" dataCellStyle="Normal 2"/>
    <tableColumn id="7" xr3:uid="{27878B06-5261-4D13-9FFB-2B9630B9E111}" name="COMENTS" dataDxfId="259" dataCellStyle="Normal 2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077242-A282-4D0E-98DF-E387D2748D9D}" name="Table21318" displayName="Table21318" ref="J47:P67" totalsRowShown="0" headerRowDxfId="258" dataDxfId="256" headerRowBorderDxfId="257" tableBorderDxfId="255" headerRowCellStyle="Normal 2" dataCellStyle="Normal 2">
  <autoFilter ref="J47:P67" xr:uid="{ED4DF0F9-11ED-44B3-B209-3B502726DE57}"/>
  <sortState xmlns:xlrd2="http://schemas.microsoft.com/office/spreadsheetml/2017/richdata2" ref="J48:P67">
    <sortCondition ref="L47:L67"/>
  </sortState>
  <tableColumns count="7">
    <tableColumn id="1" xr3:uid="{9E0B7C6D-AA4F-47E5-BFFE-E81506CD0032}" name="DRIVER" dataDxfId="254" dataCellStyle="Normal 2"/>
    <tableColumn id="2" xr3:uid="{874DC12F-A464-46DA-81DA-15BEF32A8A80}" name="Franchise" dataDxfId="253" dataCellStyle="Normal 2"/>
    <tableColumn id="3" xr3:uid="{942A2B90-40F1-4775-B3B2-922D98B6012F}" name="ROUTE" dataDxfId="252" dataCellStyle="Normal 2"/>
    <tableColumn id="4" xr3:uid="{3F15BBDC-C6CE-4D6F-B010-B2F0912C05CE}" name="STOP TIME" dataDxfId="251" dataCellStyle="Normal 2"/>
    <tableColumn id="5" xr3:uid="{9571704B-CAF7-4A8B-819C-DAD2EBDE9D56}" name="POST CODE" dataDxfId="250" dataCellStyle="Normal 2"/>
    <tableColumn id="6" xr3:uid="{917159B6-4C29-4D61-8C33-F39352A1BF30}" name="EXTRA £" dataDxfId="249" dataCellStyle="Normal 2"/>
    <tableColumn id="7" xr3:uid="{D8B65457-2BA9-4A13-BF85-3BDBACB8606A}" name="COMENTS" dataDxfId="248" dataCellStyle="Normal 2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B812B2-F009-4138-A600-40F3FAE2CBAC}" name="Table31419" displayName="Table31419" ref="J3:P23" totalsRowShown="0" headerRowDxfId="247" dataDxfId="245" headerRowBorderDxfId="246" tableBorderDxfId="244" headerRowCellStyle="Normal 2" dataCellStyle="Normal 2">
  <autoFilter ref="J3:P23" xr:uid="{326A924A-EA3C-4507-A88C-45EDB704401A}"/>
  <sortState xmlns:xlrd2="http://schemas.microsoft.com/office/spreadsheetml/2017/richdata2" ref="J4:P23">
    <sortCondition ref="L3:L23"/>
  </sortState>
  <tableColumns count="7">
    <tableColumn id="1" xr3:uid="{91ED4A34-F0BE-4600-99D0-A7EE68C40625}" name="DRIVER" dataDxfId="243" dataCellStyle="Normal 2"/>
    <tableColumn id="2" xr3:uid="{834E1AC2-B25F-4EC4-A5E1-437B3C22D0DC}" name="Franchise" dataDxfId="242" dataCellStyle="Normal 2"/>
    <tableColumn id="3" xr3:uid="{953DAEFC-E35D-4D6D-A551-747A77E18A8B}" name="ROUTE" dataDxfId="241" dataCellStyle="Normal 2"/>
    <tableColumn id="4" xr3:uid="{FF3C950D-12F5-4F29-854A-3E6C0B5B6D93}" name="STOP TIME" dataDxfId="240" dataCellStyle="Normal 2"/>
    <tableColumn id="5" xr3:uid="{127F419E-3C27-4748-949C-95551FAF5DB2}" name="POST CODE" dataDxfId="239" dataCellStyle="Normal 2"/>
    <tableColumn id="6" xr3:uid="{2B67C3D2-3B71-4C77-828E-848FF669A723}" name="EXTRA£" dataDxfId="238" dataCellStyle="Normal 2"/>
    <tableColumn id="7" xr3:uid="{7394A332-CB62-4C7A-A4B9-C93E253E5078}" name="COMENTS" dataDxfId="237" dataCellStyle="Normal 2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CFA8BB-3149-4A79-8158-43572FDCAA25}" name="Table41520" displayName="Table41520" ref="J113:P133" totalsRowShown="0" headerRowDxfId="236" headerRowBorderDxfId="235" tableBorderDxfId="234" headerRowCellStyle="Normal 2">
  <autoFilter ref="J113:P133" xr:uid="{5FF80C23-236A-4B01-8A8E-A5B3ED675A93}"/>
  <sortState xmlns:xlrd2="http://schemas.microsoft.com/office/spreadsheetml/2017/richdata2" ref="J114:P133">
    <sortCondition ref="L113:L133"/>
  </sortState>
  <tableColumns count="7">
    <tableColumn id="1" xr3:uid="{82566AA1-ABD0-497D-843E-AA27D4D98AB9}" name="DRIVER" dataDxfId="233" dataCellStyle="Normal 2"/>
    <tableColumn id="2" xr3:uid="{7CF54C46-4FAA-49FA-BB3B-462B8F10B3FB}" name="Franchise" dataDxfId="232" dataCellStyle="Normal 2"/>
    <tableColumn id="3" xr3:uid="{9ABCF93F-0C0D-4103-A1EE-8D0F72DB836D}" name="ROUTE" dataDxfId="231" dataCellStyle="Normal 2"/>
    <tableColumn id="4" xr3:uid="{E3FA6FBD-7658-4295-9F3B-C91075CEF2A8}" name="STOP TIME" dataDxfId="230" dataCellStyle="Normal 2"/>
    <tableColumn id="5" xr3:uid="{3A23B486-F9D8-4572-97AB-4D3A1FACB8CB}" name="POST CODE" dataDxfId="229" dataCellStyle="Normal 2"/>
    <tableColumn id="6" xr3:uid="{D8634BE9-CE34-42B4-9116-2700A187A120}" name="EXTRA £" dataDxfId="228" dataCellStyle="Normal 2"/>
    <tableColumn id="7" xr3:uid="{5C63C131-413A-4C98-834B-2DCE1E4167FE}" name="COMENTS" dataDxfId="227" dataCellStyle="Normal 2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80EA81-165F-4E92-B2A8-5AFD77547CE9}" name="Table51621" displayName="Table51621" ref="J135:P155" totalsRowShown="0" headerRowDxfId="226" headerRowBorderDxfId="225" tableBorderDxfId="224" headerRowCellStyle="Normal 2">
  <autoFilter ref="J135:P155" xr:uid="{99FD516F-63DC-4D4D-A779-E0149A1B77EF}"/>
  <sortState xmlns:xlrd2="http://schemas.microsoft.com/office/spreadsheetml/2017/richdata2" ref="J136:P155">
    <sortCondition ref="L135:L155"/>
  </sortState>
  <tableColumns count="7">
    <tableColumn id="1" xr3:uid="{A795AFDB-EC18-4799-B587-11F0CB6CE4ED}" name="DRIVER" dataDxfId="223" dataCellStyle="Normal 2"/>
    <tableColumn id="2" xr3:uid="{99DF6094-4E12-4895-84B7-C19E2D148647}" name="Franchise" dataDxfId="222" dataCellStyle="Normal 2"/>
    <tableColumn id="3" xr3:uid="{79D034FF-DAC1-4FBA-9813-8D3A0803D11D}" name="ROUTE" dataDxfId="221" dataCellStyle="Normal 2"/>
    <tableColumn id="4" xr3:uid="{AD002075-87A7-4E0D-BD71-DD78754610BA}" name="STOP TIME" dataDxfId="220" dataCellStyle="Normal 2"/>
    <tableColumn id="5" xr3:uid="{B280B041-B164-4564-A070-45950031E6E3}" name="POST CODE" dataDxfId="219" dataCellStyle="Normal 2"/>
    <tableColumn id="6" xr3:uid="{BAE1B308-3958-4DC8-A4A0-9E325A87D642}" name="EXTRA £" dataDxfId="218" dataCellStyle="Normal 2"/>
    <tableColumn id="7" xr3:uid="{C82C9AA6-3679-4173-BDA0-F557AF51D119}" name="COMENTS" dataDxfId="217" dataCellStyle="Normal 2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8FE3E2-73B2-4A0F-8F1D-E794EFF64352}" name="Table12227" displayName="Table12227" ref="R25:X45" totalsRowShown="0" headerRowDxfId="216" dataDxfId="214" headerRowBorderDxfId="215" tableBorderDxfId="213" headerRowCellStyle="Normal 2" dataCellStyle="Normal 2">
  <autoFilter ref="R25:X45" xr:uid="{E6D3B1F9-1D44-40C6-B935-C8CB26463390}"/>
  <sortState xmlns:xlrd2="http://schemas.microsoft.com/office/spreadsheetml/2017/richdata2" ref="R26:X45">
    <sortCondition ref="T25:T45"/>
  </sortState>
  <tableColumns count="7">
    <tableColumn id="1" xr3:uid="{9088D793-0BC5-4C72-849C-00158BDD279B}" name="DRIVER" dataDxfId="212" dataCellStyle="Normal 2"/>
    <tableColumn id="2" xr3:uid="{8E6B6FCD-ABA5-4019-84D4-D10FDBDEC97B}" name="Franchise" dataDxfId="211" dataCellStyle="Normal 2"/>
    <tableColumn id="3" xr3:uid="{75CD71F3-222D-42FB-BD96-726810D911DF}" name="ROUTE" dataDxfId="210" dataCellStyle="Normal 2"/>
    <tableColumn id="4" xr3:uid="{9C4818DA-49B3-4649-9730-13D091B9B55E}" name="STOP TIME" dataDxfId="209" dataCellStyle="Normal 2"/>
    <tableColumn id="5" xr3:uid="{875228F9-8EF9-46D5-AB9A-6599CF58399F}" name="POST CODE" dataDxfId="208" dataCellStyle="Normal 2"/>
    <tableColumn id="6" xr3:uid="{6752D500-F2E8-4F28-B145-3F2F2B541D4E}" name="EXTRA £" dataDxfId="207" dataCellStyle="Normal 2"/>
    <tableColumn id="7" xr3:uid="{45EF5495-9DF0-466B-B266-E8B1234FCE9C}" name="COMENTS" dataDxfId="206" dataCellStyle="Normal 2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C2CBDC-FD92-4CB9-B594-42627FE362C7}" name="Table22328" displayName="Table22328" ref="R47:X67" totalsRowShown="0" headerRowDxfId="205" dataDxfId="203" headerRowBorderDxfId="204" tableBorderDxfId="202" headerRowCellStyle="Normal 2" dataCellStyle="Normal 2">
  <autoFilter ref="R47:X67" xr:uid="{1BF7ABDE-489E-4134-BDD2-54A4C27613CA}"/>
  <sortState xmlns:xlrd2="http://schemas.microsoft.com/office/spreadsheetml/2017/richdata2" ref="R48:X67">
    <sortCondition ref="T47:T67"/>
  </sortState>
  <tableColumns count="7">
    <tableColumn id="1" xr3:uid="{56E95803-2598-4DAF-915B-AA62EE62A54C}" name="DRIVER" dataDxfId="201" dataCellStyle="Normal 2"/>
    <tableColumn id="2" xr3:uid="{6FACCFCA-ABA3-49C9-8FD6-98AD7698D30D}" name="Franchise" dataDxfId="200" dataCellStyle="Normal 2"/>
    <tableColumn id="3" xr3:uid="{B7B85709-46F6-4591-91F9-DC473A3A2060}" name="ROUTE" dataDxfId="199" dataCellStyle="Normal 2"/>
    <tableColumn id="4" xr3:uid="{F1B2BD8B-2871-48E7-BABE-668CB0B1CFE4}" name="STOP TIME" dataDxfId="198" dataCellStyle="Normal 2"/>
    <tableColumn id="5" xr3:uid="{09AC21B8-37A0-43E2-93D6-CBBA1263BF36}" name="POST CODE" dataDxfId="197" dataCellStyle="Normal 2"/>
    <tableColumn id="6" xr3:uid="{0DB3D18B-A03E-4070-832A-139ABF5D32FF}" name="EXTRA £" dataDxfId="196" dataCellStyle="Normal 2"/>
    <tableColumn id="7" xr3:uid="{63D6097F-D9E1-4067-8CB5-28120FF61F67}" name="COMENTS" dataDxfId="195" dataCellStyle="Normal 2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2F75950-264C-440F-815E-9DE20CE83CA2}" name="Table32429" displayName="Table32429" ref="R3:X23" totalsRowShown="0" headerRowDxfId="194" dataDxfId="192" headerRowBorderDxfId="193" tableBorderDxfId="191" headerRowCellStyle="Normal 2" dataCellStyle="Normal 2">
  <autoFilter ref="R3:X23" xr:uid="{20D157FF-DDD9-4341-B0FC-CEE0B82569BA}"/>
  <sortState xmlns:xlrd2="http://schemas.microsoft.com/office/spreadsheetml/2017/richdata2" ref="R4:X23">
    <sortCondition ref="T3:T23"/>
  </sortState>
  <tableColumns count="7">
    <tableColumn id="1" xr3:uid="{118FE805-A11F-47A8-A602-B454261248F9}" name="DRIVER" dataDxfId="190" dataCellStyle="Normal 2"/>
    <tableColumn id="2" xr3:uid="{FF5554CC-B18C-4492-B6A6-E4AA72D2FBD7}" name="Franchise" dataDxfId="189" dataCellStyle="Normal 2"/>
    <tableColumn id="3" xr3:uid="{AEC5E7F3-E715-4253-826E-4F2A62278A80}" name="ROUTE" dataDxfId="188" dataCellStyle="Normal 2"/>
    <tableColumn id="4" xr3:uid="{F0A4EC11-5136-4D90-8413-19CD17B79286}" name="STOP TIME" dataDxfId="187" dataCellStyle="Normal 2"/>
    <tableColumn id="5" xr3:uid="{018C27B9-5B06-40AB-A00B-E45F3BD387E6}" name="POST CODE" dataDxfId="186" dataCellStyle="Normal 2"/>
    <tableColumn id="6" xr3:uid="{A20225EA-44D6-4D03-9BE8-50B0BEA9D2F5}" name="EXTRA£" dataDxfId="185" dataCellStyle="Normal 2"/>
    <tableColumn id="7" xr3:uid="{FAC559F9-C8FB-46CA-B363-C891E1CCD019}" name="COMENTS" dataDxfId="184" dataCellStyle="Normal 2"/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8E810D5-09B1-4A6B-A123-5F2C0855F041}" name="Table42530" displayName="Table42530" ref="R113:X133" totalsRowShown="0" headerRowDxfId="183" headerRowBorderDxfId="182" tableBorderDxfId="181" headerRowCellStyle="Normal 2">
  <autoFilter ref="R113:X133" xr:uid="{A13D77D9-6832-492B-B938-F4AD8C58170B}"/>
  <sortState xmlns:xlrd2="http://schemas.microsoft.com/office/spreadsheetml/2017/richdata2" ref="R114:X133">
    <sortCondition ref="T113:T133"/>
  </sortState>
  <tableColumns count="7">
    <tableColumn id="1" xr3:uid="{974FF5A8-5DFD-4B4C-AD0C-903ECC934D1A}" name="DRIVER" dataDxfId="180" dataCellStyle="Normal 2"/>
    <tableColumn id="2" xr3:uid="{6DDCADC1-C632-494B-89C7-3FC760572286}" name="Franchise" dataDxfId="179" dataCellStyle="Normal 2"/>
    <tableColumn id="3" xr3:uid="{551D1C94-3C37-4DD6-8A48-589B89D01FEE}" name="ROUTE" dataDxfId="178" dataCellStyle="Normal 2"/>
    <tableColumn id="4" xr3:uid="{8B18DC34-A348-450A-8D36-FC156DEBDAA1}" name="STOP TIME" dataDxfId="177" dataCellStyle="Normal 2"/>
    <tableColumn id="5" xr3:uid="{85E682EC-689C-4F68-949F-FA7C5230CCC2}" name="POST CODE" dataDxfId="176" dataCellStyle="Normal 2"/>
    <tableColumn id="6" xr3:uid="{7991569B-8E61-4414-8D93-9983C8E4BB52}" name="EXTRA £" dataDxfId="175" dataCellStyle="Normal 2"/>
    <tableColumn id="7" xr3:uid="{6ACD2F7D-FE9D-45AC-BF03-C8F13F977BAB}" name="COMENTS" dataDxfId="174" dataCellStyle="Normal 2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59A6A7-E83B-44B7-BC13-8537D55A358A}" name="Table52631" displayName="Table52631" ref="R135:X155" totalsRowShown="0" headerRowDxfId="173" headerRowBorderDxfId="172" tableBorderDxfId="171" headerRowCellStyle="Normal 2">
  <autoFilter ref="R135:X155" xr:uid="{579FE512-D826-4798-A6A9-312E70F2E2C6}"/>
  <sortState xmlns:xlrd2="http://schemas.microsoft.com/office/spreadsheetml/2017/richdata2" ref="R136:X155">
    <sortCondition ref="T135:T155"/>
  </sortState>
  <tableColumns count="7">
    <tableColumn id="1" xr3:uid="{1F3A502A-95E9-48C4-9D33-13DBE7424A63}" name="DRIVER" dataDxfId="170" dataCellStyle="Normal 2"/>
    <tableColumn id="2" xr3:uid="{AF9D912C-B71B-4D3D-AA1C-6682DEE2612F}" name="Franchise" dataDxfId="169" dataCellStyle="Normal 2"/>
    <tableColumn id="3" xr3:uid="{2C81E009-7C56-46D7-9F64-CC9FAE15A10A}" name="ROUTE" dataDxfId="168" dataCellStyle="Normal 2"/>
    <tableColumn id="4" xr3:uid="{E1CAE29E-3413-4D74-B84D-81FE07D5FB7B}" name="STOP TIME" dataDxfId="167" dataCellStyle="Normal 2"/>
    <tableColumn id="5" xr3:uid="{984E1037-2A41-4B85-B4C2-BA97E569D421}" name="POST CODE" dataDxfId="166" dataCellStyle="Normal 2"/>
    <tableColumn id="6" xr3:uid="{EA63A437-5031-48E8-956C-48D94CD30AC1}" name="EXTRA £" dataDxfId="165" dataCellStyle="Normal 2"/>
    <tableColumn id="7" xr3:uid="{D324D058-109F-49F8-B839-41BAAD3E9162}" name="COMENTS" dataDxfId="164" dataCellStyle="Normal 2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A7FD006-8159-4F93-9B12-BAD76576D78E}" name="Table13245" displayName="Table13245" ref="Z25:AF45" totalsRowShown="0" headerRowDxfId="163" dataDxfId="161" headerRowBorderDxfId="162" tableBorderDxfId="160" headerRowCellStyle="Normal 2" dataCellStyle="Normal 2">
  <autoFilter ref="Z25:AF45" xr:uid="{27E9976D-DFD0-4321-BB1E-592482DBE274}"/>
  <sortState xmlns:xlrd2="http://schemas.microsoft.com/office/spreadsheetml/2017/richdata2" ref="Z26:AF45">
    <sortCondition ref="AB25:AB45"/>
  </sortState>
  <tableColumns count="7">
    <tableColumn id="1" xr3:uid="{C699F925-3710-4035-88D4-831706EE290A}" name="DRIVER" dataDxfId="159" dataCellStyle="Normal 2"/>
    <tableColumn id="2" xr3:uid="{49472EBD-CC60-473E-A997-0B4137BD23FF}" name="Franchise" dataDxfId="158" dataCellStyle="Normal 2"/>
    <tableColumn id="3" xr3:uid="{48DC4FA9-E638-4002-A8E2-424F82D22840}" name="ROUTE" dataDxfId="157" dataCellStyle="Normal 2"/>
    <tableColumn id="4" xr3:uid="{4A50CD6E-E807-4F82-BC42-8D625ECCC0AF}" name="STOP TIME" dataDxfId="156" dataCellStyle="Normal 2"/>
    <tableColumn id="5" xr3:uid="{ED056163-03E1-4DCF-9C49-284E23C0B661}" name="POST CODE" dataDxfId="155" dataCellStyle="Normal 2"/>
    <tableColumn id="6" xr3:uid="{06AE66A1-B6FF-484A-8A72-18854EEA77A1}" name="EXTRA £" dataDxfId="154" dataCellStyle="Normal 2"/>
    <tableColumn id="7" xr3:uid="{E3544397-B90B-4E19-98AB-03092CE52F64}" name="COMENTS" dataDxfId="153" dataCellStyle="Normal 2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01ED8EF-78D0-4023-AF3F-E2B22E5E0E54}" name="Table23346" displayName="Table23346" ref="Z47:AF67" totalsRowShown="0" headerRowDxfId="152" dataDxfId="150" headerRowBorderDxfId="151" tableBorderDxfId="149" headerRowCellStyle="Normal 2" dataCellStyle="Normal 2">
  <autoFilter ref="Z47:AF67" xr:uid="{502BBC33-F3DC-4F78-B5A0-8561FE88783F}"/>
  <sortState xmlns:xlrd2="http://schemas.microsoft.com/office/spreadsheetml/2017/richdata2" ref="Z48:AF67">
    <sortCondition ref="AB47:AB67"/>
  </sortState>
  <tableColumns count="7">
    <tableColumn id="1" xr3:uid="{DCAA4F18-E623-4D28-A5A4-193D775DCED2}" name="DRIVER" dataDxfId="148" dataCellStyle="Normal 2"/>
    <tableColumn id="2" xr3:uid="{D94002D7-6953-43FC-9008-75A2B99CFB03}" name="Franchise" dataDxfId="147" dataCellStyle="Normal 2"/>
    <tableColumn id="3" xr3:uid="{865C923A-3606-4AF8-988D-C389A68A1782}" name="ROUTE" dataDxfId="146" dataCellStyle="Normal 2"/>
    <tableColumn id="4" xr3:uid="{A31F90A5-35DD-4A6B-BFFB-C03D756583BD}" name="STOP TIME" dataDxfId="145" dataCellStyle="Normal 2"/>
    <tableColumn id="5" xr3:uid="{719C844C-ED43-4866-A064-669B79E620A1}" name="POST CODE" dataDxfId="144" dataCellStyle="Normal 2"/>
    <tableColumn id="6" xr3:uid="{DDD8477F-B31C-47AE-89D9-37FC3537D4E5}" name="EXTRA £" dataDxfId="143" dataCellStyle="Normal 2"/>
    <tableColumn id="7" xr3:uid="{4679E5D4-77E9-46EE-8B83-44727036AC10}" name="COMENTS" dataDxfId="142" dataCellStyle="Normal 2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0F4E00-8532-4035-B1F3-DF8E8856DA7C}" name="Table33447" displayName="Table33447" ref="Z3:AF23" totalsRowShown="0" headerRowDxfId="141" dataDxfId="139" headerRowBorderDxfId="140" tableBorderDxfId="138" headerRowCellStyle="Normal 2" dataCellStyle="Normal 2">
  <autoFilter ref="Z3:AF23" xr:uid="{A836CA88-1548-412B-95EA-111201985A13}"/>
  <sortState xmlns:xlrd2="http://schemas.microsoft.com/office/spreadsheetml/2017/richdata2" ref="Z4:AF23">
    <sortCondition ref="AB3:AB23"/>
  </sortState>
  <tableColumns count="7">
    <tableColumn id="1" xr3:uid="{24A8DC60-D3E2-4D5C-8107-B6E27E2F90BE}" name="DRIVER" dataDxfId="137" dataCellStyle="Normal 2"/>
    <tableColumn id="2" xr3:uid="{A8526176-E6C8-4D26-9330-609FA4B14B87}" name="Franchise" dataDxfId="136" dataCellStyle="Normal 2"/>
    <tableColumn id="3" xr3:uid="{BC9C8DC0-58B9-424F-B28F-6EB7B68CBEB6}" name="ROUTE" dataDxfId="135" dataCellStyle="Normal 2"/>
    <tableColumn id="4" xr3:uid="{45B688E2-031A-41D2-B97F-135083AC7E4B}" name="STOP TIME" dataDxfId="134" dataCellStyle="Normal 2"/>
    <tableColumn id="5" xr3:uid="{71061B5E-739C-4625-B4D4-0E38542D08EF}" name="POST CODE" dataDxfId="133" dataCellStyle="Normal 2"/>
    <tableColumn id="6" xr3:uid="{D934EED3-DF3A-46BF-A9EC-5B18990B382A}" name="EXTRA£" dataDxfId="132" dataCellStyle="Normal 2"/>
    <tableColumn id="7" xr3:uid="{1442F970-B247-4183-A9E3-0C1036412CF3}" name="COMENTS" dataDxfId="131" dataCellStyle="Normal 2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7B3A36A-D83D-47F4-AAB7-C2D3738A5B7E}" name="Table43548" displayName="Table43548" ref="Z113:AF133" totalsRowShown="0" headerRowDxfId="130" dataDxfId="128" headerRowBorderDxfId="129" tableBorderDxfId="127" headerRowCellStyle="Normal 2" dataCellStyle="Normal 2">
  <autoFilter ref="Z113:AF133" xr:uid="{333E0392-B845-4787-9945-70F0ED58EF75}"/>
  <sortState xmlns:xlrd2="http://schemas.microsoft.com/office/spreadsheetml/2017/richdata2" ref="Z114:AF133">
    <sortCondition ref="AB113:AB133"/>
  </sortState>
  <tableColumns count="7">
    <tableColumn id="1" xr3:uid="{FF74088A-43DD-4885-9EE4-D5D40559047C}" name="DRIVER" dataDxfId="126" dataCellStyle="Normal 2"/>
    <tableColumn id="2" xr3:uid="{F45C7221-99E1-4818-A16C-6409988D8375}" name="Franchise" dataDxfId="125" dataCellStyle="Normal 2"/>
    <tableColumn id="3" xr3:uid="{17E926D1-CBF8-44BD-84C5-A585B4A010DF}" name="ROUTE" dataDxfId="124" dataCellStyle="Normal 2"/>
    <tableColumn id="4" xr3:uid="{82D12781-BD8A-4470-B1D5-88FC16B71C3A}" name="STOP TIME" dataDxfId="123" dataCellStyle="Normal 2"/>
    <tableColumn id="5" xr3:uid="{8E3B05A5-7ADA-4900-A811-4BB2F9C57CE1}" name="POST CODE" dataDxfId="122" dataCellStyle="Normal 2"/>
    <tableColumn id="6" xr3:uid="{3DD78049-935D-4BF7-A652-96DD81B061DB}" name="EXTRA £" dataDxfId="121" dataCellStyle="Normal 2"/>
    <tableColumn id="7" xr3:uid="{388DD91B-4058-4DD2-999B-0CAE7CF4F200}" name="COMENTS" dataDxfId="120" dataCellStyle="Normal 2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FCC1B82-63DC-451C-9717-8405B6BE3CAB}" name="Table53649" displayName="Table53649" ref="Z135:AF155" totalsRowShown="0" headerRowDxfId="119" dataDxfId="117" headerRowBorderDxfId="118" tableBorderDxfId="116" headerRowCellStyle="Normal 2" dataCellStyle="Normal 2">
  <autoFilter ref="Z135:AF155" xr:uid="{3B88226A-A83B-4748-B303-DB4F66C5F861}"/>
  <sortState xmlns:xlrd2="http://schemas.microsoft.com/office/spreadsheetml/2017/richdata2" ref="Z136:AF155">
    <sortCondition ref="AB135:AB155"/>
  </sortState>
  <tableColumns count="7">
    <tableColumn id="1" xr3:uid="{7D5C020D-AE9F-45E7-BFC3-624893FFBB10}" name="DRIVER" dataDxfId="115" dataCellStyle="Normal 2"/>
    <tableColumn id="2" xr3:uid="{E1B1FDC5-97A5-4530-B5E1-221D5C027968}" name="Franchise" dataDxfId="114" dataCellStyle="Normal 2"/>
    <tableColumn id="3" xr3:uid="{7770D48C-F05B-408B-A2C1-FFD31B64A01D}" name="ROUTE" dataDxfId="113" dataCellStyle="Normal 2"/>
    <tableColumn id="4" xr3:uid="{D05A9379-2DD5-4329-9380-711DCF9865A4}" name="STOP TIME" dataDxfId="112" dataCellStyle="Normal 2"/>
    <tableColumn id="5" xr3:uid="{8A05AFD2-FB2E-4458-A497-E7541BCABD1B}" name="POST CODE" dataDxfId="111" dataCellStyle="Normal 2"/>
    <tableColumn id="6" xr3:uid="{8E4A525D-2F17-4D3A-A2A2-47B40096A698}" name="EXTRA £" dataDxfId="110" dataCellStyle="Normal 2"/>
    <tableColumn id="7" xr3:uid="{B57425C9-6A3C-4663-98CE-FE4D05F6C355}" name="COMENTS" dataDxfId="109" dataCellStyle="Normal 2"/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8120501-9E7E-4D2C-BC60-5C90F23998AF}" name="Table3650" displayName="Table3650" ref="Z91:AF111" totalsRowShown="0" headerRowDxfId="108" dataDxfId="106" headerRowBorderDxfId="107" tableBorderDxfId="105" headerRowCellStyle="Normal 2" dataCellStyle="Normal 2">
  <autoFilter ref="Z91:AF111" xr:uid="{980CA782-6900-4389-8E50-E79A65ABD91B}"/>
  <tableColumns count="7">
    <tableColumn id="1" xr3:uid="{44B7DE43-18C9-49C8-9BF8-6BE8E395AAB1}" name="DRIVER" dataDxfId="104" dataCellStyle="Normal 2"/>
    <tableColumn id="2" xr3:uid="{36AF9429-7FDC-4A1D-878E-4B8FB8B000AF}" name="Franchise" dataDxfId="103" dataCellStyle="Normal 2"/>
    <tableColumn id="3" xr3:uid="{A8792629-E10C-4772-8AC1-38A865949E2F}" name="ROUTE" dataDxfId="102" dataCellStyle="Normal 2"/>
    <tableColumn id="4" xr3:uid="{C833CD32-2843-4B1C-AD72-81A435C32DD6}" name="STOP TIME" dataDxfId="101" dataCellStyle="Normal 2"/>
    <tableColumn id="5" xr3:uid="{642E3F74-DD65-4E55-9BC7-E34A8941828B}" name="POST CODE" dataDxfId="100" dataCellStyle="Normal 2"/>
    <tableColumn id="6" xr3:uid="{6366EDF6-12B8-40CA-98ED-2868CF6ABBF8}" name="EXTRA £" dataDxfId="99" dataCellStyle="Normal 2"/>
    <tableColumn id="7" xr3:uid="{8DF774D2-0C84-4148-8B4B-D90D4F177070}" name="COMENTS" dataDxfId="98" dataCellStyle="Normal 2"/>
  </tableColumns>
  <tableStyleInfo name="TableStyleLight2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3331E71-6B76-4314-8587-333A3D7AF479}" name="Table3751" displayName="Table3751" ref="R91:X111" totalsRowShown="0" headerRowDxfId="97" dataDxfId="95" headerRowBorderDxfId="96" tableBorderDxfId="94" headerRowCellStyle="Normal 2" dataCellStyle="Normal 2">
  <autoFilter ref="R91:X111" xr:uid="{A491C403-396B-469E-828B-C5DDF351590E}"/>
  <tableColumns count="7">
    <tableColumn id="1" xr3:uid="{171DA00A-2532-4E10-8053-1292779E4B20}" name="DRIVER" dataDxfId="93" dataCellStyle="Normal 2"/>
    <tableColumn id="2" xr3:uid="{5F24AFD5-88F7-4A22-8495-34F2E57E8854}" name="Franchise" dataDxfId="92" dataCellStyle="Normal 2"/>
    <tableColumn id="3" xr3:uid="{E383C36B-2D21-497F-9676-D6048D066568}" name="ROUTE" dataDxfId="91" dataCellStyle="Normal 2"/>
    <tableColumn id="4" xr3:uid="{0B92D000-BB33-4F8C-924E-E6E737021DB0}" name="STOP TIME" dataDxfId="90" dataCellStyle="Normal 2"/>
    <tableColumn id="5" xr3:uid="{83CE9650-D744-4701-9243-39AE454C74A5}" name="POST CODE" dataDxfId="89" dataCellStyle="Normal 2"/>
    <tableColumn id="6" xr3:uid="{DEF4374E-43B9-4D0D-A7C5-ECCC9094403E}" name="EXTRA £" dataDxfId="88" dataCellStyle="Normal 2"/>
    <tableColumn id="7" xr3:uid="{2884591B-A607-4957-8261-2E02155A7B95}" name="COMENTS" dataDxfId="87" dataCellStyle="Normal 2"/>
  </tableColumns>
  <tableStyleInfo name="TableStyleLight2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0E511D-9C78-47CC-82CB-4434259AD8B1}" name="Table3852" displayName="Table3852" ref="Z69:AF89" totalsRowShown="0" headerRowDxfId="86" dataDxfId="84" headerRowBorderDxfId="85" tableBorderDxfId="83" headerRowCellStyle="Normal 2" dataCellStyle="Normal 2">
  <autoFilter ref="Z69:AF89" xr:uid="{BD739BDD-91BF-4D5E-88D6-1708E1358E0D}"/>
  <tableColumns count="7">
    <tableColumn id="1" xr3:uid="{25DA3B20-D41B-464B-8145-6EDF57024EC4}" name="DRIVER" dataDxfId="82" dataCellStyle="Normal 2"/>
    <tableColumn id="2" xr3:uid="{88370B3E-22E7-48E0-A4E8-237B01545E4B}" name="Franchise" dataDxfId="81" dataCellStyle="Normal 2"/>
    <tableColumn id="3" xr3:uid="{2669A194-87C5-47ED-A61F-930C39C0D4E9}" name="ROUTE" dataDxfId="80" dataCellStyle="Normal 2"/>
    <tableColumn id="4" xr3:uid="{B8F97814-64D3-4895-B524-BFF386E0EAD9}" name="STOP TIME" dataDxfId="79" dataCellStyle="Normal 2"/>
    <tableColumn id="5" xr3:uid="{254C200A-33E9-4F3F-AD92-F3322A7C4398}" name="POST CODE" dataDxfId="78" dataCellStyle="Normal 2"/>
    <tableColumn id="6" xr3:uid="{DAE93E73-BE1D-449B-A395-01FD45BFD4F6}" name="EXTRA £" dataDxfId="77" dataCellStyle="Normal 2"/>
    <tableColumn id="7" xr3:uid="{EBD9EB22-2D30-4698-B164-A5D82A3AC51B}" name="COMENTS" dataDxfId="76" dataCellStyle="Normal 2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DC3101A-5C76-4BFC-8A23-18E40DD5CC8B}" name="Table3953" displayName="Table3953" ref="R69:X89" totalsRowShown="0" headerRowDxfId="75" dataDxfId="73" headerRowBorderDxfId="74" tableBorderDxfId="72" headerRowCellStyle="Normal 2" dataCellStyle="Normal 2">
  <autoFilter ref="R69:X89" xr:uid="{D8F64605-2AF9-4113-AA3C-EECCC0B70439}"/>
  <tableColumns count="7">
    <tableColumn id="1" xr3:uid="{1055BB62-E65D-4549-9F55-44AB69E527F8}" name="DRIVER" dataDxfId="71" dataCellStyle="Normal 2"/>
    <tableColumn id="2" xr3:uid="{FFEC3E9E-8A1A-4647-AB2F-B6000065EED0}" name="Franchise" dataDxfId="70" dataCellStyle="Normal 2"/>
    <tableColumn id="3" xr3:uid="{470B54A2-37D7-454E-A6C0-F0014D730566}" name="ROUTE" dataDxfId="69" dataCellStyle="Normal 2"/>
    <tableColumn id="4" xr3:uid="{444B4A88-AFE9-4396-8FE7-5AE6477FBBA0}" name="STOP TIME" dataDxfId="68" dataCellStyle="Normal 2"/>
    <tableColumn id="5" xr3:uid="{F6AA078C-6AE7-4727-ADAA-916B87A97156}" name="POST CODE" dataDxfId="67" dataCellStyle="Normal 2"/>
    <tableColumn id="6" xr3:uid="{B84BCE2E-B96E-4969-8948-BA1EB6D56784}" name="EXTRA £" dataDxfId="66" dataCellStyle="Normal 2"/>
    <tableColumn id="7" xr3:uid="{625D3E74-C97C-450D-9C9F-041BC428DAC8}" name="COMENTS" dataDxfId="65" dataCellStyle="Normal 2"/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F25C23-B5A7-45B8-B5A9-4267CFFF513C}" name="Table4054" displayName="Table4054" ref="J69:P89" totalsRowShown="0" headerRowDxfId="64" dataDxfId="62" headerRowBorderDxfId="63" tableBorderDxfId="61" headerRowCellStyle="Normal 2" dataCellStyle="Normal 2">
  <autoFilter ref="J69:P89" xr:uid="{30504C77-1045-4001-B965-05C4677A14E2}"/>
  <sortState xmlns:xlrd2="http://schemas.microsoft.com/office/spreadsheetml/2017/richdata2" ref="J70:P89">
    <sortCondition ref="L69:L89"/>
  </sortState>
  <tableColumns count="7">
    <tableColumn id="1" xr3:uid="{EE8E3163-9120-4968-ABC0-6B8432AFEAEE}" name="DRIVER" dataDxfId="60" dataCellStyle="Normal 2"/>
    <tableColumn id="2" xr3:uid="{3D0C7088-8384-4E28-8DFC-F6A7DBBB2C16}" name="Franchise" dataDxfId="59" dataCellStyle="Normal 2"/>
    <tableColumn id="3" xr3:uid="{CD908DDE-6039-47E5-8680-382F1F0A2FD7}" name="ROUTE" dataDxfId="58" dataCellStyle="Normal 2"/>
    <tableColumn id="4" xr3:uid="{E0C1E2CB-880E-4EDD-A867-36D0117DC199}" name="STOP TIME" dataDxfId="57" dataCellStyle="Normal 2"/>
    <tableColumn id="5" xr3:uid="{241156DD-F6D9-4BE9-923B-151308CD5058}" name="POST CODE" dataDxfId="56" dataCellStyle="Normal 2"/>
    <tableColumn id="6" xr3:uid="{B681B202-D65B-4FC2-804E-D695E57C202C}" name="EXTRA £" dataDxfId="55" dataCellStyle="Normal 2"/>
    <tableColumn id="7" xr3:uid="{6732DB73-E4E6-4902-9869-4B9FF1E2B08F}" name="COMENTS" dataDxfId="54" dataCellStyle="Normal 2"/>
  </tableColumns>
  <tableStyleInfo name="TableStyleLight2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88F3585-95DF-4E1A-9D7E-00090E8D545B}" name="Table4155" displayName="Table4155" ref="B69:H89" totalsRowShown="0" headerRowDxfId="53" dataDxfId="51" headerRowBorderDxfId="52" tableBorderDxfId="50" headerRowCellStyle="Normal 2" dataCellStyle="Normal 2">
  <autoFilter ref="B69:H89" xr:uid="{DE2F345B-FBF2-4879-B016-178501F193D4}"/>
  <sortState xmlns:xlrd2="http://schemas.microsoft.com/office/spreadsheetml/2017/richdata2" ref="B70:H89">
    <sortCondition ref="D69:D89"/>
  </sortState>
  <tableColumns count="7">
    <tableColumn id="1" xr3:uid="{4A0366E9-399A-450E-9365-3FCC24CB0EAA}" name="DRIVER" dataDxfId="49" dataCellStyle="Normal 2"/>
    <tableColumn id="2" xr3:uid="{FC01CAB6-23FD-4CC2-87CA-4138DD4F8E50}" name="Franchise" dataDxfId="48" dataCellStyle="Normal 2"/>
    <tableColumn id="3" xr3:uid="{EFA8475D-2292-485D-A99B-FBFEEB130B6F}" name="ROUTE" dataDxfId="47" dataCellStyle="Normal 2"/>
    <tableColumn id="4" xr3:uid="{009A907E-DA52-45BD-BA7C-6D1A8533415B}" name="STOP TIME" dataDxfId="46" dataCellStyle="Normal 2"/>
    <tableColumn id="5" xr3:uid="{9157EB56-0D3D-4485-B162-FCA8059DE375}" name="POST CODE" dataDxfId="45" dataCellStyle="Normal 2"/>
    <tableColumn id="6" xr3:uid="{9088B552-A7CF-4E80-AFC4-E1FA0DDB7427}" name="EXTRA £" dataDxfId="44" dataCellStyle="Normal 2"/>
    <tableColumn id="7" xr3:uid="{34EB504E-C4CD-4245-B4B6-39BD60B462BB}" name="COMENTS" dataDxfId="43" dataCellStyle="Normal 2"/>
  </tableColumns>
  <tableStyleInfo name="TableStyleLight2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222ECC6-BEFC-4B04-A4FC-8E8760AE9590}" name="Table4256" displayName="Table4256" ref="B91:H111" totalsRowShown="0" headerRowDxfId="42" dataDxfId="40" headerRowBorderDxfId="41" tableBorderDxfId="39" headerRowCellStyle="Normal 2" dataCellStyle="Normal 2">
  <autoFilter ref="B91:H111" xr:uid="{B0E0DDCD-C45A-48B8-9985-6337C63C0FB8}"/>
  <sortState xmlns:xlrd2="http://schemas.microsoft.com/office/spreadsheetml/2017/richdata2" ref="B92:H111">
    <sortCondition ref="D91:D111"/>
  </sortState>
  <tableColumns count="7">
    <tableColumn id="1" xr3:uid="{E640A08B-8252-4839-9B5C-9DC439938F31}" name="DRIVER" dataDxfId="38" dataCellStyle="Normal 2"/>
    <tableColumn id="2" xr3:uid="{9C418A5C-A863-4794-BE24-3C555986B9CC}" name="Franchise" dataDxfId="37" dataCellStyle="Normal 2"/>
    <tableColumn id="3" xr3:uid="{D99BC3E0-FB3E-4A36-81C3-60B097A4C769}" name="ROUTE" dataDxfId="36" dataCellStyle="Normal 2"/>
    <tableColumn id="4" xr3:uid="{0CD1FBCF-3EA8-4A07-9629-B9CD669DD797}" name="STOP TIME" dataDxfId="35" dataCellStyle="Normal 2"/>
    <tableColumn id="5" xr3:uid="{33BE9CC7-4A2D-45C3-AD58-6C07F086D777}" name="POST CODE" dataDxfId="34" dataCellStyle="Normal 2"/>
    <tableColumn id="6" xr3:uid="{27D1D580-0BC5-45CC-80D6-E3ECA359C166}" name="EXTRA £" dataDxfId="33" dataCellStyle="Normal 2"/>
    <tableColumn id="7" xr3:uid="{AD72CC48-0C7B-4121-95B1-9D0DD1E8A7F6}" name="COMENTS" dataDxfId="32" dataCellStyle="Normal 2"/>
  </tableColumns>
  <tableStyleInfo name="TableStyleLight2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C2CF48F-D35A-4481-A7F0-5EF8869F0BF3}" name="Table4357" displayName="Table4357" ref="J91:P111" totalsRowShown="0" headerRowDxfId="31" dataDxfId="29" headerRowBorderDxfId="30" tableBorderDxfId="28" headerRowCellStyle="Normal 2" dataCellStyle="Normal 2">
  <autoFilter ref="J91:P111" xr:uid="{AE76CEDC-E9D0-4EE8-B572-95A08DBC4276}"/>
  <sortState xmlns:xlrd2="http://schemas.microsoft.com/office/spreadsheetml/2017/richdata2" ref="J92:P111">
    <sortCondition ref="L91:L111"/>
  </sortState>
  <tableColumns count="7">
    <tableColumn id="1" xr3:uid="{764BCD38-E7A8-4E7F-A597-73BAE8F77681}" name="DRIVER" dataDxfId="27" dataCellStyle="Normal 2"/>
    <tableColumn id="2" xr3:uid="{B8C90FB3-5E5A-428C-95BA-8164B83D399B}" name="Franchise" dataDxfId="26" dataCellStyle="Normal 2"/>
    <tableColumn id="3" xr3:uid="{B33226CB-E76A-446F-B0EB-EED36D07367D}" name="ROUTE" dataDxfId="25" dataCellStyle="Normal 2"/>
    <tableColumn id="4" xr3:uid="{6CBD7051-981E-47D1-AAD8-61C344690BDC}" name="STOP TIME" dataDxfId="24" dataCellStyle="Normal 2"/>
    <tableColumn id="5" xr3:uid="{F612B16F-0E87-45E9-B878-59B777D84161}" name="POST CODE" dataDxfId="23" dataCellStyle="Normal 2"/>
    <tableColumn id="6" xr3:uid="{65E4D523-9EFB-4A57-8205-79E4069FB70E}" name="EXTRA £" dataDxfId="22" dataCellStyle="Normal 2"/>
    <tableColumn id="7" xr3:uid="{827CB6E0-97A3-477D-995D-7F13B803D86A}" name="COMENTS" dataDxfId="21" dataCellStyle="Normal 2"/>
  </tableColumns>
  <tableStyleInfo name="TableStyleLight2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4DD7AD9-C1D8-4DD8-B129-D4325AB4203C}" name="Table162022" displayName="Table162022" ref="Y3:AM32" totalsRowShown="0" headerRowDxfId="20" dataDxfId="19" tableBorderDxfId="18">
  <autoFilter ref="Y3:AM32" xr:uid="{C571258A-CF90-4992-9F4E-838F10D3183C}"/>
  <tableColumns count="15">
    <tableColumn id="1" xr3:uid="{F0CCF014-6EF6-47E1-867E-D089FC3CC1BB}" name="DATE" dataDxfId="17"/>
    <tableColumn id="16" xr3:uid="{30E74601-8288-4332-B7A7-26212669EC5C}" name="FRANCHISE" dataDxfId="16"/>
    <tableColumn id="17" xr3:uid="{23D6404F-58D2-4564-874C-34F19DF3097B}" name="ROUTE" dataDxfId="15"/>
    <tableColumn id="14" xr3:uid="{3CB010F1-B5AD-4406-8135-02F363A2C65D}" name="STOPS" dataDxfId="14"/>
    <tableColumn id="13" xr3:uid="{FA1FE188-C6AD-4FE2-A899-1037363EB563}" name="PRICE" dataDxfId="13"/>
    <tableColumn id="4" xr3:uid="{D1AC026C-A9FA-4202-A989-6B57C555C958}" name="DAY RATE" dataDxfId="12"/>
    <tableColumn id="15" xr3:uid="{9B842258-56AE-454C-AA14-16F802569FF4}" name="STOPS PAID" dataDxfId="11">
      <calculatedColumnFormula>Table162022[[#This Row],[STOPS]]*Table162022[[#This Row],[PRICE]]+Table162022[[#This Row],[DAY RATE]]</calculatedColumnFormula>
    </tableColumn>
    <tableColumn id="2" xr3:uid="{B0AB5680-EBF5-4172-AB63-31B52F5F0403}" name="EXTRA" dataDxfId="10"/>
    <tableColumn id="3" xr3:uid="{BC4AD8D0-34F3-4655-9AE0-D6CAEA52E0A1}" name="TOTAL AGREED" dataDxfId="9">
      <calculatedColumnFormula>Table162022[[#This Row],[STOPS PAID]]+Table162022[[#This Row],[EXTRA]]</calculatedColumnFormula>
    </tableColumn>
    <tableColumn id="7" xr3:uid="{BACD686B-33B7-4468-8057-C312AC183CE3}" name="FIRST RUN" dataDxfId="8"/>
    <tableColumn id="8" xr3:uid="{9C6AA166-B349-4EB5-BCB4-C45E68DD25DE}" name="SEC. RUN" dataDxfId="7"/>
    <tableColumn id="9" xr3:uid="{8F38F7CC-38FC-4CB7-BCCC-E0E71FEBC7C2}" name="EXTRA RUN" dataDxfId="6"/>
    <tableColumn id="10" xr3:uid="{42B8DEDD-E99D-47A0-B679-20C1752F272B}" name="TOP UP" dataDxfId="5"/>
    <tableColumn id="11" xr3:uid="{11D1C7F7-1EDB-4D1F-AAB2-E555A1F8FBEC}" name="TOTAL PAID" dataDxfId="4"/>
    <tableColumn id="12" xr3:uid="{66984965-5B9C-4788-AD3D-D5ED70A19314}" name="DIFERENC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hyperlink" Target="mailto:ronaldouk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23F9-D20F-41EC-A6E1-040010CB9762}">
  <dimension ref="E3:F12"/>
  <sheetViews>
    <sheetView tabSelected="1" workbookViewId="0">
      <selection activeCell="F13" sqref="F13"/>
    </sheetView>
  </sheetViews>
  <sheetFormatPr defaultRowHeight="14.4" x14ac:dyDescent="0.3"/>
  <sheetData>
    <row r="3" spans="5:6" x14ac:dyDescent="0.3">
      <c r="E3" t="s">
        <v>246</v>
      </c>
    </row>
    <row r="5" spans="5:6" x14ac:dyDescent="0.3">
      <c r="E5" t="s">
        <v>247</v>
      </c>
    </row>
    <row r="12" spans="5:6" x14ac:dyDescent="0.3">
      <c r="F12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AE5C-42F6-4F83-9D06-99409A592FE6}">
  <dimension ref="B1:AJ26"/>
  <sheetViews>
    <sheetView workbookViewId="0">
      <selection activeCell="O3" sqref="O3"/>
    </sheetView>
  </sheetViews>
  <sheetFormatPr defaultRowHeight="14.4" x14ac:dyDescent="0.3"/>
  <cols>
    <col min="1" max="1" width="2.6640625" style="1" customWidth="1"/>
    <col min="2" max="2" width="8.88671875" style="1"/>
    <col min="3" max="3" width="14.5546875" style="1" bestFit="1" customWidth="1"/>
    <col min="4" max="5" width="11.88671875" style="1" bestFit="1" customWidth="1"/>
    <col min="6" max="6" width="16.5546875" style="1" bestFit="1" customWidth="1"/>
    <col min="7" max="7" width="1" style="1" customWidth="1"/>
    <col min="8" max="8" width="8.88671875" style="1"/>
    <col min="9" max="9" width="14.5546875" style="1" bestFit="1" customWidth="1"/>
    <col min="10" max="10" width="11.6640625" style="1" customWidth="1"/>
    <col min="11" max="11" width="11.88671875" style="1" bestFit="1" customWidth="1"/>
    <col min="12" max="12" width="16.5546875" style="1" bestFit="1" customWidth="1"/>
    <col min="13" max="13" width="1.21875" style="1" customWidth="1"/>
    <col min="14" max="14" width="8.88671875" style="1"/>
    <col min="15" max="15" width="14.5546875" style="1" bestFit="1" customWidth="1"/>
    <col min="16" max="16" width="11.5546875" style="1" customWidth="1"/>
    <col min="17" max="17" width="11.88671875" style="1" bestFit="1" customWidth="1"/>
    <col min="18" max="18" width="16.5546875" style="1" bestFit="1" customWidth="1"/>
    <col min="19" max="19" width="0.88671875" style="1" customWidth="1"/>
    <col min="20" max="20" width="8.88671875" style="1"/>
    <col min="21" max="21" width="14.5546875" style="1" bestFit="1" customWidth="1"/>
    <col min="22" max="22" width="11.5546875" style="1" customWidth="1"/>
    <col min="23" max="23" width="11.88671875" style="1" bestFit="1" customWidth="1"/>
    <col min="24" max="24" width="16.5546875" style="1" bestFit="1" customWidth="1"/>
    <col min="25" max="25" width="2" style="1" customWidth="1"/>
    <col min="26" max="26" width="8.88671875" style="1"/>
    <col min="27" max="27" width="14.5546875" style="1" bestFit="1" customWidth="1"/>
    <col min="28" max="28" width="11.6640625" style="1" customWidth="1"/>
    <col min="29" max="29" width="11.88671875" style="1" bestFit="1" customWidth="1"/>
    <col min="30" max="30" width="16.5546875" style="1" bestFit="1" customWidth="1"/>
    <col min="31" max="31" width="1.5546875" style="1" customWidth="1"/>
    <col min="32" max="32" width="8.88671875" style="1"/>
    <col min="33" max="33" width="14.5546875" style="1" bestFit="1" customWidth="1"/>
    <col min="34" max="34" width="11.6640625" style="1" customWidth="1"/>
    <col min="35" max="35" width="11.88671875" style="1" bestFit="1" customWidth="1"/>
    <col min="36" max="36" width="16.5546875" style="1" bestFit="1" customWidth="1"/>
    <col min="37" max="16384" width="8.88671875" style="1"/>
  </cols>
  <sheetData>
    <row r="1" spans="2:36" ht="15" thickBot="1" x14ac:dyDescent="0.35"/>
    <row r="2" spans="2:36" ht="16.2" thickBot="1" x14ac:dyDescent="0.35">
      <c r="B2" s="217" t="s">
        <v>0</v>
      </c>
      <c r="C2" s="218"/>
      <c r="D2" s="218"/>
      <c r="E2" s="218"/>
      <c r="F2" s="219"/>
      <c r="H2" s="2" t="s">
        <v>1</v>
      </c>
      <c r="I2" s="3"/>
      <c r="K2" s="4" t="s">
        <v>2</v>
      </c>
      <c r="L2" s="5">
        <v>46295</v>
      </c>
      <c r="O2" s="6" t="s">
        <v>249</v>
      </c>
      <c r="P2" s="7">
        <f>C26+I26+O26+U26+AA26+AG26</f>
        <v>2305.85</v>
      </c>
    </row>
    <row r="3" spans="2:36" ht="15" thickBot="1" x14ac:dyDescent="0.35"/>
    <row r="4" spans="2:36" x14ac:dyDescent="0.3">
      <c r="B4" s="8" t="s">
        <v>3</v>
      </c>
      <c r="C4" s="215" t="s">
        <v>4</v>
      </c>
      <c r="D4" s="215"/>
      <c r="E4" s="220"/>
      <c r="F4" s="216"/>
      <c r="H4" s="8" t="s">
        <v>3</v>
      </c>
      <c r="I4" s="215" t="s">
        <v>5</v>
      </c>
      <c r="J4" s="215"/>
      <c r="K4" s="215"/>
      <c r="L4" s="216"/>
      <c r="N4" s="8" t="s">
        <v>3</v>
      </c>
      <c r="O4" s="215" t="s">
        <v>6</v>
      </c>
      <c r="P4" s="215"/>
      <c r="Q4" s="215"/>
      <c r="R4" s="216"/>
      <c r="T4" s="8" t="s">
        <v>3</v>
      </c>
      <c r="U4" s="215" t="s">
        <v>7</v>
      </c>
      <c r="V4" s="215"/>
      <c r="W4" s="215"/>
      <c r="X4" s="216"/>
      <c r="Z4" s="8" t="s">
        <v>3</v>
      </c>
      <c r="AA4" s="215" t="s">
        <v>8</v>
      </c>
      <c r="AB4" s="215"/>
      <c r="AC4" s="215"/>
      <c r="AD4" s="216"/>
      <c r="AF4" s="8" t="s">
        <v>3</v>
      </c>
      <c r="AG4" s="215" t="s">
        <v>9</v>
      </c>
      <c r="AH4" s="215"/>
      <c r="AI4" s="215"/>
      <c r="AJ4" s="216"/>
    </row>
    <row r="5" spans="2:36" x14ac:dyDescent="0.3">
      <c r="B5" s="9" t="s">
        <v>10</v>
      </c>
      <c r="C5" s="10" t="s">
        <v>11</v>
      </c>
      <c r="D5" s="10" t="s">
        <v>12</v>
      </c>
      <c r="E5" s="11" t="s">
        <v>13</v>
      </c>
      <c r="F5" s="12" t="s">
        <v>14</v>
      </c>
      <c r="H5" s="9" t="s">
        <v>10</v>
      </c>
      <c r="I5" s="10" t="s">
        <v>11</v>
      </c>
      <c r="J5" s="10" t="s">
        <v>12</v>
      </c>
      <c r="K5" s="10" t="s">
        <v>13</v>
      </c>
      <c r="L5" s="12" t="s">
        <v>14</v>
      </c>
      <c r="N5" s="9" t="s">
        <v>10</v>
      </c>
      <c r="O5" s="10" t="s">
        <v>11</v>
      </c>
      <c r="P5" s="10" t="s">
        <v>12</v>
      </c>
      <c r="Q5" s="10" t="s">
        <v>13</v>
      </c>
      <c r="R5" s="12" t="s">
        <v>14</v>
      </c>
      <c r="T5" s="9" t="s">
        <v>10</v>
      </c>
      <c r="U5" s="10" t="s">
        <v>11</v>
      </c>
      <c r="V5" s="10" t="s">
        <v>12</v>
      </c>
      <c r="W5" s="10" t="s">
        <v>13</v>
      </c>
      <c r="X5" s="12" t="s">
        <v>14</v>
      </c>
      <c r="Z5" s="9" t="s">
        <v>10</v>
      </c>
      <c r="AA5" s="10" t="s">
        <v>11</v>
      </c>
      <c r="AB5" s="10" t="s">
        <v>12</v>
      </c>
      <c r="AC5" s="10" t="s">
        <v>13</v>
      </c>
      <c r="AD5" s="12" t="s">
        <v>14</v>
      </c>
      <c r="AF5" s="9" t="s">
        <v>10</v>
      </c>
      <c r="AG5" s="10" t="s">
        <v>11</v>
      </c>
      <c r="AH5" s="10" t="s">
        <v>12</v>
      </c>
      <c r="AI5" s="10" t="s">
        <v>13</v>
      </c>
      <c r="AJ5" s="12" t="s">
        <v>14</v>
      </c>
    </row>
    <row r="6" spans="2:36" x14ac:dyDescent="0.3">
      <c r="B6" s="13">
        <v>46277</v>
      </c>
      <c r="C6" s="14">
        <v>119.41</v>
      </c>
      <c r="D6" s="15" t="s">
        <v>15</v>
      </c>
      <c r="E6" s="16" t="s">
        <v>16</v>
      </c>
      <c r="F6" s="17">
        <v>46311</v>
      </c>
      <c r="H6" s="13">
        <v>46268</v>
      </c>
      <c r="I6" s="14">
        <v>98.45</v>
      </c>
      <c r="J6" s="14" t="s">
        <v>5</v>
      </c>
      <c r="K6" s="15" t="s">
        <v>16</v>
      </c>
      <c r="L6" s="17">
        <v>46283</v>
      </c>
      <c r="N6" s="18">
        <v>46266</v>
      </c>
      <c r="O6" s="19">
        <v>147.30000000000001</v>
      </c>
      <c r="P6" s="19" t="s">
        <v>6</v>
      </c>
      <c r="Q6" s="10"/>
      <c r="R6" s="20"/>
      <c r="T6" s="13">
        <v>46278</v>
      </c>
      <c r="U6" s="14">
        <v>122.62</v>
      </c>
      <c r="V6" s="14" t="s">
        <v>7</v>
      </c>
      <c r="W6" s="15" t="s">
        <v>16</v>
      </c>
      <c r="X6" s="17">
        <v>46296</v>
      </c>
      <c r="Z6" s="13">
        <v>46272</v>
      </c>
      <c r="AA6" s="14">
        <v>46.99</v>
      </c>
      <c r="AB6" s="14" t="s">
        <v>8</v>
      </c>
      <c r="AC6" s="15" t="s">
        <v>16</v>
      </c>
      <c r="AD6" s="17">
        <v>46311</v>
      </c>
      <c r="AF6" s="13">
        <v>46293</v>
      </c>
      <c r="AG6" s="14">
        <v>137.22999999999999</v>
      </c>
      <c r="AH6" s="14" t="s">
        <v>17</v>
      </c>
      <c r="AI6" s="15" t="s">
        <v>16</v>
      </c>
      <c r="AJ6" s="17">
        <v>46311</v>
      </c>
    </row>
    <row r="7" spans="2:36" x14ac:dyDescent="0.3">
      <c r="B7" s="13">
        <v>46280</v>
      </c>
      <c r="C7" s="14">
        <v>98.45</v>
      </c>
      <c r="D7" s="15" t="s">
        <v>15</v>
      </c>
      <c r="E7" s="16" t="s">
        <v>16</v>
      </c>
      <c r="F7" s="17">
        <v>46311</v>
      </c>
      <c r="H7" s="13">
        <v>46270</v>
      </c>
      <c r="I7" s="14">
        <v>48.14</v>
      </c>
      <c r="J7" s="14" t="s">
        <v>5</v>
      </c>
      <c r="K7" s="15" t="s">
        <v>16</v>
      </c>
      <c r="L7" s="17">
        <v>46283</v>
      </c>
      <c r="N7" s="18">
        <v>46269</v>
      </c>
      <c r="O7" s="19">
        <v>121</v>
      </c>
      <c r="P7" s="19" t="s">
        <v>6</v>
      </c>
      <c r="Q7" s="10"/>
      <c r="R7" s="20"/>
      <c r="T7" s="18"/>
      <c r="U7" s="19"/>
      <c r="V7" s="19"/>
      <c r="W7" s="10"/>
      <c r="X7" s="20"/>
      <c r="Z7" s="18"/>
      <c r="AA7" s="19"/>
      <c r="AB7" s="19"/>
      <c r="AC7" s="10"/>
      <c r="AD7" s="20"/>
      <c r="AF7" s="18"/>
      <c r="AG7" s="19"/>
      <c r="AH7" s="19"/>
      <c r="AI7" s="10"/>
      <c r="AJ7" s="20"/>
    </row>
    <row r="8" spans="2:36" x14ac:dyDescent="0.3">
      <c r="B8" s="13">
        <v>46282</v>
      </c>
      <c r="C8" s="14">
        <v>118.48</v>
      </c>
      <c r="D8" s="15" t="s">
        <v>15</v>
      </c>
      <c r="E8" s="16" t="s">
        <v>16</v>
      </c>
      <c r="F8" s="17">
        <v>46311</v>
      </c>
      <c r="H8" s="13">
        <v>46271</v>
      </c>
      <c r="I8" s="14">
        <v>37.93</v>
      </c>
      <c r="J8" s="14" t="s">
        <v>5</v>
      </c>
      <c r="K8" s="15" t="s">
        <v>16</v>
      </c>
      <c r="L8" s="17">
        <v>46283</v>
      </c>
      <c r="N8" s="18">
        <v>46282</v>
      </c>
      <c r="O8" s="19">
        <v>143.09</v>
      </c>
      <c r="P8" s="19" t="s">
        <v>6</v>
      </c>
      <c r="Q8" s="10"/>
      <c r="R8" s="20"/>
      <c r="T8" s="18"/>
      <c r="U8" s="19"/>
      <c r="V8" s="19"/>
      <c r="W8" s="10"/>
      <c r="X8" s="20"/>
      <c r="Z8" s="18"/>
      <c r="AA8" s="19"/>
      <c r="AB8" s="19"/>
      <c r="AC8" s="10"/>
      <c r="AD8" s="20"/>
      <c r="AF8" s="18"/>
      <c r="AG8" s="19"/>
      <c r="AH8" s="19"/>
      <c r="AI8" s="10"/>
      <c r="AJ8" s="20"/>
    </row>
    <row r="9" spans="2:36" x14ac:dyDescent="0.3">
      <c r="B9" s="18"/>
      <c r="C9" s="19"/>
      <c r="D9" s="10"/>
      <c r="E9" s="11"/>
      <c r="F9" s="20"/>
      <c r="H9" s="13">
        <v>46272</v>
      </c>
      <c r="I9" s="14">
        <v>37.549999999999997</v>
      </c>
      <c r="J9" s="14" t="s">
        <v>5</v>
      </c>
      <c r="K9" s="15" t="s">
        <v>16</v>
      </c>
      <c r="L9" s="17">
        <v>46283</v>
      </c>
      <c r="N9" s="18">
        <v>46288</v>
      </c>
      <c r="O9" s="19">
        <v>47.34</v>
      </c>
      <c r="P9" s="19" t="s">
        <v>6</v>
      </c>
      <c r="Q9" s="10"/>
      <c r="R9" s="20"/>
      <c r="T9" s="18"/>
      <c r="U9" s="19"/>
      <c r="V9" s="19"/>
      <c r="W9" s="10"/>
      <c r="X9" s="20"/>
      <c r="Z9" s="18"/>
      <c r="AA9" s="19"/>
      <c r="AB9" s="19"/>
      <c r="AC9" s="10"/>
      <c r="AD9" s="20"/>
      <c r="AF9" s="18"/>
      <c r="AG9" s="19"/>
      <c r="AH9" s="19"/>
      <c r="AI9" s="10"/>
      <c r="AJ9" s="20"/>
    </row>
    <row r="10" spans="2:36" x14ac:dyDescent="0.3">
      <c r="B10" s="18"/>
      <c r="C10" s="19"/>
      <c r="D10" s="10"/>
      <c r="E10" s="11"/>
      <c r="F10" s="20"/>
      <c r="H10" s="13">
        <v>46273</v>
      </c>
      <c r="I10" s="14">
        <v>59.56</v>
      </c>
      <c r="J10" s="14" t="s">
        <v>5</v>
      </c>
      <c r="K10" s="15" t="s">
        <v>16</v>
      </c>
      <c r="L10" s="17">
        <v>46283</v>
      </c>
      <c r="N10" s="18">
        <v>46289</v>
      </c>
      <c r="O10" s="19">
        <v>132.34</v>
      </c>
      <c r="P10" s="19" t="s">
        <v>6</v>
      </c>
      <c r="Q10" s="10"/>
      <c r="R10" s="20"/>
      <c r="T10" s="18"/>
      <c r="U10" s="19"/>
      <c r="V10" s="19"/>
      <c r="W10" s="10"/>
      <c r="X10" s="20"/>
      <c r="Z10" s="18"/>
      <c r="AA10" s="19"/>
      <c r="AB10" s="19"/>
      <c r="AC10" s="10"/>
      <c r="AD10" s="20"/>
      <c r="AF10" s="18"/>
      <c r="AG10" s="19"/>
      <c r="AH10" s="19"/>
      <c r="AI10" s="10"/>
      <c r="AJ10" s="20"/>
    </row>
    <row r="11" spans="2:36" x14ac:dyDescent="0.3">
      <c r="B11" s="18"/>
      <c r="C11" s="19"/>
      <c r="D11" s="10"/>
      <c r="E11" s="11"/>
      <c r="F11" s="20"/>
      <c r="H11" s="13">
        <v>46274</v>
      </c>
      <c r="I11" s="14">
        <v>100.55</v>
      </c>
      <c r="J11" s="14" t="s">
        <v>5</v>
      </c>
      <c r="K11" s="15" t="s">
        <v>16</v>
      </c>
      <c r="L11" s="17">
        <v>46283</v>
      </c>
      <c r="N11" s="18"/>
      <c r="O11" s="19"/>
      <c r="P11" s="19"/>
      <c r="Q11" s="10"/>
      <c r="R11" s="20"/>
      <c r="T11" s="18"/>
      <c r="U11" s="19"/>
      <c r="V11" s="19"/>
      <c r="W11" s="10"/>
      <c r="X11" s="20"/>
      <c r="Z11" s="18"/>
      <c r="AA11" s="19"/>
      <c r="AB11" s="19"/>
      <c r="AC11" s="10"/>
      <c r="AD11" s="20"/>
      <c r="AF11" s="18"/>
      <c r="AG11" s="19"/>
      <c r="AH11" s="19"/>
      <c r="AI11" s="10"/>
      <c r="AJ11" s="20"/>
    </row>
    <row r="12" spans="2:36" x14ac:dyDescent="0.3">
      <c r="B12" s="18"/>
      <c r="C12" s="19"/>
      <c r="D12" s="10"/>
      <c r="E12" s="11"/>
      <c r="F12" s="20"/>
      <c r="H12" s="13">
        <v>46276</v>
      </c>
      <c r="I12" s="14">
        <v>37.6</v>
      </c>
      <c r="J12" s="14" t="s">
        <v>5</v>
      </c>
      <c r="K12" s="15" t="s">
        <v>16</v>
      </c>
      <c r="L12" s="17">
        <v>46283</v>
      </c>
      <c r="N12" s="18"/>
      <c r="O12" s="19"/>
      <c r="P12" s="19"/>
      <c r="Q12" s="10"/>
      <c r="R12" s="20"/>
      <c r="T12" s="18"/>
      <c r="U12" s="19"/>
      <c r="V12" s="19"/>
      <c r="W12" s="10"/>
      <c r="X12" s="20"/>
      <c r="Z12" s="18"/>
      <c r="AA12" s="19"/>
      <c r="AB12" s="19"/>
      <c r="AC12" s="10"/>
      <c r="AD12" s="20"/>
      <c r="AF12" s="18"/>
      <c r="AG12" s="19"/>
      <c r="AH12" s="19"/>
      <c r="AI12" s="10"/>
      <c r="AJ12" s="20"/>
    </row>
    <row r="13" spans="2:36" x14ac:dyDescent="0.3">
      <c r="B13" s="18"/>
      <c r="C13" s="19"/>
      <c r="D13" s="10"/>
      <c r="E13" s="11"/>
      <c r="F13" s="20"/>
      <c r="H13" s="13">
        <v>46278</v>
      </c>
      <c r="I13" s="14">
        <v>46.97</v>
      </c>
      <c r="J13" s="14" t="s">
        <v>5</v>
      </c>
      <c r="K13" s="15" t="s">
        <v>16</v>
      </c>
      <c r="L13" s="17">
        <v>46283</v>
      </c>
      <c r="N13" s="18"/>
      <c r="O13" s="19"/>
      <c r="P13" s="19"/>
      <c r="Q13" s="10"/>
      <c r="R13" s="20"/>
      <c r="T13" s="18"/>
      <c r="U13" s="19"/>
      <c r="V13" s="19"/>
      <c r="W13" s="10"/>
      <c r="X13" s="20"/>
      <c r="Z13" s="18"/>
      <c r="AA13" s="19"/>
      <c r="AB13" s="19"/>
      <c r="AC13" s="10"/>
      <c r="AD13" s="20"/>
      <c r="AF13" s="18"/>
      <c r="AG13" s="19"/>
      <c r="AH13" s="19"/>
      <c r="AI13" s="10"/>
      <c r="AJ13" s="20"/>
    </row>
    <row r="14" spans="2:36" x14ac:dyDescent="0.3">
      <c r="B14" s="18"/>
      <c r="C14" s="19"/>
      <c r="D14" s="10"/>
      <c r="E14" s="11"/>
      <c r="F14" s="20"/>
      <c r="H14" s="13">
        <v>46279</v>
      </c>
      <c r="I14" s="14">
        <v>56.34</v>
      </c>
      <c r="J14" s="14" t="s">
        <v>5</v>
      </c>
      <c r="K14" s="15" t="s">
        <v>16</v>
      </c>
      <c r="L14" s="17">
        <v>46283</v>
      </c>
      <c r="N14" s="18"/>
      <c r="O14" s="19"/>
      <c r="P14" s="19"/>
      <c r="Q14" s="10"/>
      <c r="R14" s="20"/>
      <c r="T14" s="18"/>
      <c r="U14" s="19"/>
      <c r="V14" s="19"/>
      <c r="W14" s="10"/>
      <c r="X14" s="20"/>
      <c r="Z14" s="18"/>
      <c r="AA14" s="19"/>
      <c r="AB14" s="19"/>
      <c r="AC14" s="10"/>
      <c r="AD14" s="20"/>
      <c r="AF14" s="18"/>
      <c r="AG14" s="19"/>
      <c r="AH14" s="19"/>
      <c r="AI14" s="10"/>
      <c r="AJ14" s="20"/>
    </row>
    <row r="15" spans="2:36" x14ac:dyDescent="0.3">
      <c r="B15" s="18"/>
      <c r="C15" s="19"/>
      <c r="D15" s="10"/>
      <c r="E15" s="11"/>
      <c r="F15" s="20"/>
      <c r="H15" s="13">
        <v>46280</v>
      </c>
      <c r="I15" s="14">
        <v>47.59</v>
      </c>
      <c r="J15" s="14" t="s">
        <v>5</v>
      </c>
      <c r="K15" s="15" t="s">
        <v>16</v>
      </c>
      <c r="L15" s="17">
        <v>46283</v>
      </c>
      <c r="N15" s="18"/>
      <c r="O15" s="19"/>
      <c r="P15" s="19"/>
      <c r="Q15" s="10"/>
      <c r="R15" s="20"/>
      <c r="T15" s="18"/>
      <c r="U15" s="19"/>
      <c r="V15" s="19"/>
      <c r="W15" s="10"/>
      <c r="X15" s="20"/>
      <c r="Z15" s="18"/>
      <c r="AA15" s="19"/>
      <c r="AB15" s="19"/>
      <c r="AC15" s="10"/>
      <c r="AD15" s="20"/>
      <c r="AF15" s="18"/>
      <c r="AG15" s="19"/>
      <c r="AH15" s="19"/>
      <c r="AI15" s="10"/>
      <c r="AJ15" s="20"/>
    </row>
    <row r="16" spans="2:36" x14ac:dyDescent="0.3">
      <c r="B16" s="18"/>
      <c r="C16" s="19"/>
      <c r="D16" s="10"/>
      <c r="E16" s="11"/>
      <c r="F16" s="20"/>
      <c r="H16" s="18">
        <v>46286</v>
      </c>
      <c r="I16" s="19">
        <v>133.18</v>
      </c>
      <c r="J16" s="19" t="s">
        <v>5</v>
      </c>
      <c r="K16" s="10"/>
      <c r="L16" s="20"/>
      <c r="N16" s="18"/>
      <c r="O16" s="19"/>
      <c r="P16" s="19"/>
      <c r="Q16" s="10"/>
      <c r="R16" s="20"/>
      <c r="T16" s="18"/>
      <c r="U16" s="19"/>
      <c r="V16" s="19"/>
      <c r="W16" s="10"/>
      <c r="X16" s="20"/>
      <c r="Z16" s="18"/>
      <c r="AA16" s="19"/>
      <c r="AB16" s="19"/>
      <c r="AC16" s="10"/>
      <c r="AD16" s="20"/>
      <c r="AF16" s="18"/>
      <c r="AG16" s="19"/>
      <c r="AH16" s="19"/>
      <c r="AI16" s="10"/>
      <c r="AJ16" s="20"/>
    </row>
    <row r="17" spans="2:36" x14ac:dyDescent="0.3">
      <c r="B17" s="18"/>
      <c r="C17" s="19"/>
      <c r="D17" s="10"/>
      <c r="E17" s="11"/>
      <c r="F17" s="20"/>
      <c r="H17" s="18">
        <v>46289</v>
      </c>
      <c r="I17" s="19">
        <v>47.35</v>
      </c>
      <c r="J17" s="19" t="s">
        <v>5</v>
      </c>
      <c r="K17" s="10"/>
      <c r="L17" s="20"/>
      <c r="N17" s="18"/>
      <c r="O17" s="19"/>
      <c r="P17" s="19"/>
      <c r="Q17" s="10"/>
      <c r="R17" s="20"/>
      <c r="T17" s="18"/>
      <c r="U17" s="19"/>
      <c r="V17" s="19"/>
      <c r="W17" s="10"/>
      <c r="X17" s="20"/>
      <c r="Z17" s="18"/>
      <c r="AA17" s="19"/>
      <c r="AB17" s="19"/>
      <c r="AC17" s="10"/>
      <c r="AD17" s="20"/>
      <c r="AF17" s="18"/>
      <c r="AG17" s="19"/>
      <c r="AH17" s="19"/>
      <c r="AI17" s="10"/>
      <c r="AJ17" s="20"/>
    </row>
    <row r="18" spans="2:36" x14ac:dyDescent="0.3">
      <c r="B18" s="18"/>
      <c r="C18" s="19"/>
      <c r="D18" s="10"/>
      <c r="E18" s="11"/>
      <c r="F18" s="20"/>
      <c r="H18" s="18">
        <v>46290</v>
      </c>
      <c r="I18" s="19">
        <v>47.34</v>
      </c>
      <c r="J18" s="19" t="s">
        <v>5</v>
      </c>
      <c r="K18" s="10"/>
      <c r="L18" s="20"/>
      <c r="N18" s="18"/>
      <c r="O18" s="19"/>
      <c r="P18" s="19"/>
      <c r="Q18" s="10"/>
      <c r="R18" s="20"/>
      <c r="T18" s="18"/>
      <c r="U18" s="19"/>
      <c r="V18" s="19"/>
      <c r="W18" s="10"/>
      <c r="X18" s="20"/>
      <c r="Z18" s="18"/>
      <c r="AA18" s="19"/>
      <c r="AB18" s="19"/>
      <c r="AC18" s="10"/>
      <c r="AD18" s="20"/>
      <c r="AF18" s="18"/>
      <c r="AG18" s="19"/>
      <c r="AH18" s="19"/>
      <c r="AI18" s="10"/>
      <c r="AJ18" s="20"/>
    </row>
    <row r="19" spans="2:36" x14ac:dyDescent="0.3">
      <c r="B19" s="18"/>
      <c r="C19" s="19"/>
      <c r="D19" s="10"/>
      <c r="E19" s="11"/>
      <c r="F19" s="20"/>
      <c r="H19" s="18">
        <v>46292</v>
      </c>
      <c r="I19" s="19">
        <v>117.28</v>
      </c>
      <c r="J19" s="19" t="s">
        <v>5</v>
      </c>
      <c r="K19" s="10"/>
      <c r="L19" s="20"/>
      <c r="N19" s="18"/>
      <c r="O19" s="19"/>
      <c r="P19" s="19"/>
      <c r="Q19" s="10"/>
      <c r="R19" s="20"/>
      <c r="T19" s="18"/>
      <c r="U19" s="19"/>
      <c r="V19" s="19"/>
      <c r="W19" s="10"/>
      <c r="X19" s="20"/>
      <c r="Z19" s="18"/>
      <c r="AA19" s="19"/>
      <c r="AB19" s="19"/>
      <c r="AC19" s="10"/>
      <c r="AD19" s="20"/>
      <c r="AF19" s="18"/>
      <c r="AG19" s="19"/>
      <c r="AH19" s="19"/>
      <c r="AI19" s="10"/>
      <c r="AJ19" s="20"/>
    </row>
    <row r="20" spans="2:36" x14ac:dyDescent="0.3">
      <c r="B20" s="18"/>
      <c r="C20" s="19"/>
      <c r="D20" s="10"/>
      <c r="E20" s="11"/>
      <c r="F20" s="20"/>
      <c r="H20" s="18">
        <v>46294</v>
      </c>
      <c r="I20" s="19">
        <v>155.77000000000001</v>
      </c>
      <c r="J20" s="19" t="s">
        <v>5</v>
      </c>
      <c r="K20" s="10"/>
      <c r="L20" s="20"/>
      <c r="N20" s="18"/>
      <c r="O20" s="19"/>
      <c r="P20" s="19"/>
      <c r="Q20" s="10"/>
      <c r="R20" s="20"/>
      <c r="T20" s="18"/>
      <c r="U20" s="19"/>
      <c r="V20" s="19"/>
      <c r="W20" s="10"/>
      <c r="X20" s="20"/>
      <c r="Z20" s="18"/>
      <c r="AA20" s="19"/>
      <c r="AB20" s="19"/>
      <c r="AC20" s="10"/>
      <c r="AD20" s="20"/>
      <c r="AF20" s="18"/>
      <c r="AG20" s="19"/>
      <c r="AH20" s="19"/>
      <c r="AI20" s="10"/>
      <c r="AJ20" s="20"/>
    </row>
    <row r="21" spans="2:36" x14ac:dyDescent="0.3">
      <c r="B21" s="18"/>
      <c r="C21" s="19"/>
      <c r="D21" s="10"/>
      <c r="E21" s="11"/>
      <c r="F21" s="20"/>
      <c r="H21" s="18"/>
      <c r="I21" s="19"/>
      <c r="J21" s="19"/>
      <c r="K21" s="10"/>
      <c r="L21" s="20"/>
      <c r="N21" s="18"/>
      <c r="O21" s="19"/>
      <c r="P21" s="19"/>
      <c r="Q21" s="10"/>
      <c r="R21" s="20"/>
      <c r="T21" s="18"/>
      <c r="U21" s="19"/>
      <c r="V21" s="19"/>
      <c r="W21" s="10"/>
      <c r="X21" s="20"/>
      <c r="Z21" s="18"/>
      <c r="AA21" s="19"/>
      <c r="AB21" s="19"/>
      <c r="AC21" s="10"/>
      <c r="AD21" s="20"/>
      <c r="AF21" s="18"/>
      <c r="AG21" s="19"/>
      <c r="AH21" s="19"/>
      <c r="AI21" s="10"/>
      <c r="AJ21" s="20"/>
    </row>
    <row r="22" spans="2:36" x14ac:dyDescent="0.3">
      <c r="B22" s="18"/>
      <c r="C22" s="19"/>
      <c r="D22" s="10"/>
      <c r="E22" s="11"/>
      <c r="F22" s="20"/>
      <c r="H22" s="18"/>
      <c r="I22" s="19"/>
      <c r="J22" s="19"/>
      <c r="K22" s="10"/>
      <c r="L22" s="20"/>
      <c r="N22" s="18"/>
      <c r="O22" s="19"/>
      <c r="P22" s="19"/>
      <c r="Q22" s="10"/>
      <c r="R22" s="20"/>
      <c r="T22" s="18"/>
      <c r="U22" s="19"/>
      <c r="V22" s="19"/>
      <c r="W22" s="10"/>
      <c r="X22" s="20"/>
      <c r="Z22" s="18"/>
      <c r="AA22" s="19"/>
      <c r="AB22" s="19"/>
      <c r="AC22" s="10"/>
      <c r="AD22" s="20"/>
      <c r="AF22" s="18"/>
      <c r="AG22" s="19"/>
      <c r="AH22" s="19"/>
      <c r="AI22" s="10"/>
      <c r="AJ22" s="20"/>
    </row>
    <row r="23" spans="2:36" x14ac:dyDescent="0.3">
      <c r="B23" s="18"/>
      <c r="C23" s="19"/>
      <c r="D23" s="10"/>
      <c r="E23" s="11"/>
      <c r="F23" s="20"/>
      <c r="H23" s="18"/>
      <c r="I23" s="19"/>
      <c r="J23" s="19"/>
      <c r="K23" s="10"/>
      <c r="L23" s="20"/>
      <c r="N23" s="18"/>
      <c r="O23" s="19"/>
      <c r="P23" s="19"/>
      <c r="Q23" s="10"/>
      <c r="R23" s="20"/>
      <c r="T23" s="18"/>
      <c r="U23" s="19"/>
      <c r="V23" s="19"/>
      <c r="W23" s="10"/>
      <c r="X23" s="20"/>
      <c r="Z23" s="18"/>
      <c r="AA23" s="19"/>
      <c r="AB23" s="19"/>
      <c r="AC23" s="10"/>
      <c r="AD23" s="20"/>
      <c r="AF23" s="18"/>
      <c r="AG23" s="19"/>
      <c r="AH23" s="19"/>
      <c r="AI23" s="10"/>
      <c r="AJ23" s="20"/>
    </row>
    <row r="24" spans="2:36" x14ac:dyDescent="0.3">
      <c r="B24" s="18"/>
      <c r="C24" s="19"/>
      <c r="D24" s="10"/>
      <c r="E24" s="11"/>
      <c r="F24" s="20"/>
      <c r="H24" s="18"/>
      <c r="I24" s="19"/>
      <c r="J24" s="19"/>
      <c r="K24" s="10"/>
      <c r="L24" s="20"/>
      <c r="N24" s="18"/>
      <c r="O24" s="19"/>
      <c r="P24" s="19"/>
      <c r="Q24" s="10"/>
      <c r="R24" s="20"/>
      <c r="T24" s="18"/>
      <c r="U24" s="19"/>
      <c r="V24" s="19"/>
      <c r="W24" s="10"/>
      <c r="X24" s="20"/>
      <c r="Z24" s="18"/>
      <c r="AA24" s="19"/>
      <c r="AB24" s="19"/>
      <c r="AC24" s="10"/>
      <c r="AD24" s="20"/>
      <c r="AF24" s="18"/>
      <c r="AG24" s="19"/>
      <c r="AH24" s="19"/>
      <c r="AI24" s="10"/>
      <c r="AJ24" s="20"/>
    </row>
    <row r="25" spans="2:36" x14ac:dyDescent="0.3">
      <c r="B25" s="18"/>
      <c r="C25" s="19"/>
      <c r="D25" s="10"/>
      <c r="E25" s="11"/>
      <c r="F25" s="20"/>
      <c r="H25" s="18"/>
      <c r="I25" s="19"/>
      <c r="J25" s="19"/>
      <c r="K25" s="10"/>
      <c r="L25" s="20"/>
      <c r="N25" s="18"/>
      <c r="O25" s="19"/>
      <c r="P25" s="19"/>
      <c r="Q25" s="10"/>
      <c r="R25" s="20"/>
      <c r="T25" s="18"/>
      <c r="U25" s="19"/>
      <c r="V25" s="19"/>
      <c r="W25" s="10"/>
      <c r="X25" s="20"/>
      <c r="Z25" s="18"/>
      <c r="AA25" s="19"/>
      <c r="AB25" s="19"/>
      <c r="AC25" s="10"/>
      <c r="AD25" s="20"/>
      <c r="AF25" s="18"/>
      <c r="AG25" s="19"/>
      <c r="AH25" s="19"/>
      <c r="AI25" s="10"/>
      <c r="AJ25" s="20"/>
    </row>
    <row r="26" spans="2:36" ht="15" thickBot="1" x14ac:dyDescent="0.35">
      <c r="B26" s="21"/>
      <c r="C26" s="22">
        <f>SUM(C6:C25)</f>
        <v>336.34000000000003</v>
      </c>
      <c r="D26" s="23"/>
      <c r="E26" s="23"/>
      <c r="F26" s="24"/>
      <c r="H26" s="21"/>
      <c r="I26" s="22">
        <f>SUM(I6:I25)</f>
        <v>1071.6000000000001</v>
      </c>
      <c r="J26" s="22"/>
      <c r="K26" s="23"/>
      <c r="L26" s="24"/>
      <c r="N26" s="21"/>
      <c r="O26" s="22">
        <f>SUM(O6:O25)</f>
        <v>591.07000000000005</v>
      </c>
      <c r="P26" s="22"/>
      <c r="Q26" s="23"/>
      <c r="R26" s="24"/>
      <c r="T26" s="21"/>
      <c r="U26" s="22">
        <f>SUM(U6:U25)</f>
        <v>122.62</v>
      </c>
      <c r="V26" s="22"/>
      <c r="W26" s="23"/>
      <c r="X26" s="24"/>
      <c r="Z26" s="21"/>
      <c r="AA26" s="22">
        <f>SUM(AA6:AA25)</f>
        <v>46.99</v>
      </c>
      <c r="AB26" s="22"/>
      <c r="AC26" s="23"/>
      <c r="AD26" s="24"/>
      <c r="AF26" s="21"/>
      <c r="AG26" s="22">
        <f>SUM(AG6:AG25)</f>
        <v>137.22999999999999</v>
      </c>
      <c r="AH26" s="22"/>
      <c r="AI26" s="23"/>
      <c r="AJ26" s="24"/>
    </row>
  </sheetData>
  <mergeCells count="7">
    <mergeCell ref="AG4:AJ4"/>
    <mergeCell ref="B2:F2"/>
    <mergeCell ref="C4:F4"/>
    <mergeCell ref="I4:L4"/>
    <mergeCell ref="O4:R4"/>
    <mergeCell ref="U4:X4"/>
    <mergeCell ref="AA4:A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D5B5-3935-4ECB-815D-30630229ACB3}">
  <sheetPr>
    <tabColor theme="7"/>
    <pageSetUpPr fitToPage="1"/>
  </sheetPr>
  <dimension ref="B1:L44"/>
  <sheetViews>
    <sheetView showGridLines="0" zoomScale="85" zoomScaleNormal="85" workbookViewId="0">
      <pane ySplit="2" topLeftCell="A9" activePane="bottomLeft" state="frozen"/>
      <selection activeCell="E35" sqref="E35"/>
      <selection pane="bottomLeft" activeCell="G19" sqref="G19"/>
    </sheetView>
  </sheetViews>
  <sheetFormatPr defaultColWidth="11.109375" defaultRowHeight="14.4" x14ac:dyDescent="0.3"/>
  <cols>
    <col min="1" max="1" width="3.44140625" style="29" customWidth="1"/>
    <col min="2" max="2" width="22.5546875" style="29" customWidth="1"/>
    <col min="3" max="8" width="21.77734375" style="29" customWidth="1"/>
    <col min="9" max="9" width="3.44140625" style="29" customWidth="1"/>
    <col min="10" max="10" width="13" style="29" customWidth="1"/>
    <col min="11" max="16384" width="11.109375" style="29"/>
  </cols>
  <sheetData>
    <row r="1" spans="2:12" ht="39" customHeight="1" x14ac:dyDescent="0.3">
      <c r="B1" s="25" t="str">
        <f>"July "&amp;CalendarYear</f>
        <v>July 2026</v>
      </c>
      <c r="C1" s="26"/>
      <c r="D1" s="26"/>
      <c r="E1" s="27"/>
      <c r="F1" s="27"/>
      <c r="G1" s="27"/>
      <c r="H1" s="28"/>
      <c r="J1" s="221" t="s">
        <v>18</v>
      </c>
      <c r="L1" s="222" t="s">
        <v>19</v>
      </c>
    </row>
    <row r="2" spans="2:12" ht="21.75" customHeight="1" x14ac:dyDescent="0.3">
      <c r="B2" s="30" t="str">
        <f>IF(WeekStart="SUNDAY", "SUNDAY","MONDAY")</f>
        <v>SUNDAY</v>
      </c>
      <c r="C2" s="30" t="str">
        <f t="shared" ref="C2:H2" si="0">UPPER(TEXT(C3,"dddd"))</f>
        <v>MONDAY</v>
      </c>
      <c r="D2" s="30" t="str">
        <f t="shared" si="0"/>
        <v>TUESDAY</v>
      </c>
      <c r="E2" s="30" t="str">
        <f t="shared" si="0"/>
        <v>WEDNESDAY</v>
      </c>
      <c r="F2" s="30" t="str">
        <f t="shared" si="0"/>
        <v>THURSDAY</v>
      </c>
      <c r="G2" s="30" t="str">
        <f t="shared" si="0"/>
        <v>FRIDAY</v>
      </c>
      <c r="H2" s="30" t="str">
        <f t="shared" si="0"/>
        <v>SATURDAY</v>
      </c>
      <c r="J2" s="221"/>
      <c r="L2" s="222"/>
    </row>
    <row r="3" spans="2:12" ht="19.5" customHeight="1" x14ac:dyDescent="0.3">
      <c r="B3" s="31">
        <f t="array" ref="B3:H3">DaysAndWeeks+DATE(CalendarYear,7,1)-WEEKDAY(DATE(CalendarYear,7,1),(WeekStart="Monday")+1)+1</f>
        <v>46201</v>
      </c>
      <c r="C3" s="32">
        <v>46202</v>
      </c>
      <c r="D3" s="33">
        <v>46203</v>
      </c>
      <c r="E3" s="32">
        <v>46204</v>
      </c>
      <c r="F3" s="32">
        <v>46205</v>
      </c>
      <c r="G3" s="32">
        <v>46206</v>
      </c>
      <c r="H3" s="34">
        <v>46207</v>
      </c>
    </row>
    <row r="4" spans="2:12" ht="19.5" customHeight="1" x14ac:dyDescent="0.3">
      <c r="B4" s="35"/>
      <c r="C4" s="36"/>
      <c r="D4" s="37"/>
      <c r="E4" s="36" t="s">
        <v>20</v>
      </c>
      <c r="F4" s="36"/>
      <c r="G4" s="36"/>
      <c r="H4" s="38"/>
    </row>
    <row r="5" spans="2:12" ht="19.5" customHeight="1" x14ac:dyDescent="0.3">
      <c r="B5" s="35"/>
      <c r="C5" s="36"/>
      <c r="D5" s="37"/>
      <c r="E5" s="36"/>
      <c r="F5" s="36" t="s">
        <v>21</v>
      </c>
      <c r="G5" s="36" t="s">
        <v>22</v>
      </c>
      <c r="H5" s="38" t="s">
        <v>22</v>
      </c>
    </row>
    <row r="6" spans="2:12" ht="19.5" customHeight="1" x14ac:dyDescent="0.3">
      <c r="B6" s="35"/>
      <c r="C6" s="36"/>
      <c r="D6" s="37"/>
      <c r="E6" s="36"/>
      <c r="F6" s="36"/>
      <c r="G6" s="36"/>
      <c r="H6" s="38"/>
    </row>
    <row r="7" spans="2:12" ht="19.5" customHeight="1" x14ac:dyDescent="0.3">
      <c r="B7" s="35"/>
      <c r="C7" s="36"/>
      <c r="D7" s="37"/>
      <c r="E7" s="36"/>
      <c r="F7" s="36"/>
      <c r="G7" s="36"/>
      <c r="H7" s="38"/>
    </row>
    <row r="8" spans="2:12" ht="19.5" customHeight="1" x14ac:dyDescent="0.3">
      <c r="B8" s="35"/>
      <c r="C8" s="36"/>
      <c r="D8" s="37"/>
      <c r="E8" s="36"/>
      <c r="F8" s="36"/>
      <c r="G8" s="36"/>
      <c r="H8" s="38"/>
    </row>
    <row r="9" spans="2:12" ht="19.2" customHeight="1" x14ac:dyDescent="0.3">
      <c r="B9" s="39"/>
      <c r="C9" s="40"/>
      <c r="D9" s="41"/>
      <c r="E9" s="40"/>
      <c r="F9" s="40"/>
      <c r="G9" s="40"/>
      <c r="H9" s="42"/>
    </row>
    <row r="10" spans="2:12" ht="19.5" customHeight="1" x14ac:dyDescent="0.3">
      <c r="B10" s="43">
        <f t="array" ref="B10:H10">DaysAndWeeks+DATE(CalendarYear,7,1)-WEEKDAY(DATE(CalendarYear,7,1),(WeekStart="Monday")+1)+8</f>
        <v>46208</v>
      </c>
      <c r="C10" s="44">
        <v>46209</v>
      </c>
      <c r="D10" s="44">
        <v>46210</v>
      </c>
      <c r="E10" s="44">
        <v>46211</v>
      </c>
      <c r="F10" s="44">
        <v>46212</v>
      </c>
      <c r="G10" s="44">
        <v>46213</v>
      </c>
      <c r="H10" s="45">
        <v>46214</v>
      </c>
    </row>
    <row r="11" spans="2:12" ht="19.5" customHeight="1" x14ac:dyDescent="0.3">
      <c r="B11" s="46" t="s">
        <v>22</v>
      </c>
      <c r="C11" s="47"/>
      <c r="D11" s="47"/>
      <c r="E11" s="47"/>
      <c r="F11" s="47"/>
      <c r="G11" s="47" t="s">
        <v>23</v>
      </c>
      <c r="H11" s="48"/>
    </row>
    <row r="12" spans="2:12" ht="19.5" customHeight="1" x14ac:dyDescent="0.3">
      <c r="B12" s="46"/>
      <c r="C12" s="47"/>
      <c r="D12" s="47"/>
      <c r="E12" s="47"/>
      <c r="F12" s="47"/>
      <c r="G12" s="47"/>
      <c r="H12" s="48"/>
    </row>
    <row r="13" spans="2:12" ht="19.5" customHeight="1" x14ac:dyDescent="0.3">
      <c r="B13" s="46"/>
      <c r="C13" s="47"/>
      <c r="D13" s="47"/>
      <c r="E13" s="47"/>
      <c r="F13" s="47"/>
      <c r="G13" s="47"/>
      <c r="H13" s="48"/>
    </row>
    <row r="14" spans="2:12" ht="19.5" customHeight="1" x14ac:dyDescent="0.3">
      <c r="B14" s="46"/>
      <c r="C14" s="47"/>
      <c r="D14" s="47"/>
      <c r="E14" s="47"/>
      <c r="F14" s="47"/>
      <c r="G14" s="47"/>
      <c r="H14" s="48"/>
    </row>
    <row r="15" spans="2:12" ht="19.5" customHeight="1" x14ac:dyDescent="0.3">
      <c r="B15" s="46"/>
      <c r="C15" s="47"/>
      <c r="D15" s="47"/>
      <c r="E15" s="47"/>
      <c r="F15" s="47"/>
      <c r="G15" s="47"/>
      <c r="H15" s="48"/>
    </row>
    <row r="16" spans="2:12" ht="19.2" customHeight="1" x14ac:dyDescent="0.3">
      <c r="B16" s="49"/>
      <c r="C16" s="50"/>
      <c r="D16" s="50"/>
      <c r="E16" s="50"/>
      <c r="F16" s="50"/>
      <c r="G16" s="50"/>
      <c r="H16" s="51"/>
    </row>
    <row r="17" spans="2:8" ht="19.5" customHeight="1" x14ac:dyDescent="0.3">
      <c r="B17" s="52">
        <f t="array" ref="B17:H17">DaysAndWeeks+DATE(CalendarYear,7,1)-WEEKDAY(DATE(CalendarYear,7,1),(WeekStart="Monday")+1)+15</f>
        <v>46215</v>
      </c>
      <c r="C17" s="32">
        <v>46216</v>
      </c>
      <c r="D17" s="32">
        <v>46217</v>
      </c>
      <c r="E17" s="32">
        <v>46218</v>
      </c>
      <c r="F17" s="32">
        <v>46219</v>
      </c>
      <c r="G17" s="32">
        <v>46220</v>
      </c>
      <c r="H17" s="34">
        <v>46221</v>
      </c>
    </row>
    <row r="18" spans="2:8" ht="19.5" customHeight="1" x14ac:dyDescent="0.3">
      <c r="B18" s="53" t="s">
        <v>24</v>
      </c>
      <c r="C18" s="36"/>
      <c r="D18" s="36"/>
      <c r="E18" s="36"/>
      <c r="F18" s="36"/>
      <c r="G18" s="36"/>
      <c r="H18" s="38"/>
    </row>
    <row r="19" spans="2:8" ht="19.5" customHeight="1" x14ac:dyDescent="0.3">
      <c r="B19" s="53"/>
      <c r="C19" s="36"/>
      <c r="D19" s="36"/>
      <c r="E19" s="36"/>
      <c r="F19" s="36"/>
      <c r="G19" s="36"/>
      <c r="H19" s="38"/>
    </row>
    <row r="20" spans="2:8" ht="19.5" customHeight="1" x14ac:dyDescent="0.3">
      <c r="B20" s="53"/>
      <c r="C20" s="36"/>
      <c r="D20" s="36"/>
      <c r="E20" s="36"/>
      <c r="F20" s="36"/>
      <c r="G20" s="36"/>
      <c r="H20" s="38"/>
    </row>
    <row r="21" spans="2:8" ht="19.5" customHeight="1" x14ac:dyDescent="0.3">
      <c r="B21" s="53"/>
      <c r="C21" s="36"/>
      <c r="D21" s="36"/>
      <c r="E21" s="36"/>
      <c r="F21" s="36"/>
      <c r="G21" s="36"/>
      <c r="H21" s="38"/>
    </row>
    <row r="22" spans="2:8" ht="19.5" customHeight="1" x14ac:dyDescent="0.3">
      <c r="B22" s="53"/>
      <c r="C22" s="36"/>
      <c r="D22" s="36"/>
      <c r="E22" s="36"/>
      <c r="F22" s="36"/>
      <c r="G22" s="36"/>
      <c r="H22" s="38"/>
    </row>
    <row r="23" spans="2:8" ht="19.2" customHeight="1" x14ac:dyDescent="0.3">
      <c r="B23" s="53"/>
      <c r="C23" s="36"/>
      <c r="D23" s="36"/>
      <c r="E23" s="36"/>
      <c r="F23" s="36"/>
      <c r="G23" s="36"/>
      <c r="H23" s="38"/>
    </row>
    <row r="24" spans="2:8" ht="19.5" customHeight="1" x14ac:dyDescent="0.3">
      <c r="B24" s="43">
        <f t="array" ref="B24:H24">DaysAndWeeks+DATE(CalendarYear,7,1)-WEEKDAY(DATE(CalendarYear,7,1),(WeekStart="Monday")+1)+22</f>
        <v>46222</v>
      </c>
      <c r="C24" s="44">
        <v>46223</v>
      </c>
      <c r="D24" s="44">
        <v>46224</v>
      </c>
      <c r="E24" s="44">
        <v>46225</v>
      </c>
      <c r="F24" s="44">
        <v>46226</v>
      </c>
      <c r="G24" s="44">
        <v>46227</v>
      </c>
      <c r="H24" s="45">
        <v>46228</v>
      </c>
    </row>
    <row r="25" spans="2:8" ht="19.5" customHeight="1" x14ac:dyDescent="0.3">
      <c r="B25" s="46"/>
      <c r="C25" s="47" t="s">
        <v>25</v>
      </c>
      <c r="D25" s="47" t="s">
        <v>25</v>
      </c>
      <c r="E25" s="47" t="s">
        <v>25</v>
      </c>
      <c r="F25" s="47" t="s">
        <v>25</v>
      </c>
      <c r="G25" s="47" t="s">
        <v>25</v>
      </c>
      <c r="H25" s="47" t="s">
        <v>25</v>
      </c>
    </row>
    <row r="26" spans="2:8" ht="19.5" customHeight="1" x14ac:dyDescent="0.3">
      <c r="B26" s="46"/>
      <c r="C26" s="47"/>
      <c r="D26" s="47"/>
      <c r="E26" s="47"/>
      <c r="F26" s="47"/>
      <c r="G26" s="47"/>
      <c r="H26" s="48"/>
    </row>
    <row r="27" spans="2:8" ht="19.5" customHeight="1" x14ac:dyDescent="0.3">
      <c r="B27" s="46"/>
      <c r="C27" s="47"/>
      <c r="D27" s="47"/>
      <c r="E27" s="47"/>
      <c r="F27" s="47"/>
      <c r="G27" s="47"/>
      <c r="H27" s="48"/>
    </row>
    <row r="28" spans="2:8" ht="19.5" customHeight="1" x14ac:dyDescent="0.3">
      <c r="B28" s="46"/>
      <c r="C28" s="47"/>
      <c r="D28" s="47"/>
      <c r="E28" s="47"/>
      <c r="F28" s="47"/>
      <c r="G28" s="47"/>
      <c r="H28" s="48"/>
    </row>
    <row r="29" spans="2:8" ht="19.5" customHeight="1" x14ac:dyDescent="0.3">
      <c r="B29" s="46"/>
      <c r="C29" s="47"/>
      <c r="D29" s="47"/>
      <c r="E29" s="47"/>
      <c r="F29" s="47"/>
      <c r="G29" s="47"/>
      <c r="H29" s="48"/>
    </row>
    <row r="30" spans="2:8" ht="19.2" customHeight="1" x14ac:dyDescent="0.3">
      <c r="B30" s="49"/>
      <c r="C30" s="50"/>
      <c r="D30" s="50"/>
      <c r="E30" s="50"/>
      <c r="F30" s="50"/>
      <c r="G30" s="50"/>
      <c r="H30" s="51"/>
    </row>
    <row r="31" spans="2:8" ht="19.5" customHeight="1" x14ac:dyDescent="0.3">
      <c r="B31" s="52">
        <f t="array" ref="B31:H31">DaysAndWeeks+DATE(CalendarYear,7,1)-WEEKDAY(DATE(CalendarYear,7,1),(WeekStart="Monday")+1)+29</f>
        <v>46229</v>
      </c>
      <c r="C31" s="32">
        <v>46230</v>
      </c>
      <c r="D31" s="32">
        <v>46231</v>
      </c>
      <c r="E31" s="32">
        <v>46232</v>
      </c>
      <c r="F31" s="32">
        <v>46233</v>
      </c>
      <c r="G31" s="32">
        <v>46234</v>
      </c>
      <c r="H31" s="34">
        <v>46235</v>
      </c>
    </row>
    <row r="32" spans="2:8" ht="19.5" customHeight="1" x14ac:dyDescent="0.3">
      <c r="B32" s="53"/>
      <c r="C32" s="47" t="s">
        <v>25</v>
      </c>
      <c r="D32" s="47" t="s">
        <v>25</v>
      </c>
      <c r="E32" s="47" t="s">
        <v>25</v>
      </c>
      <c r="F32" s="47" t="s">
        <v>25</v>
      </c>
      <c r="G32" s="47" t="s">
        <v>25</v>
      </c>
      <c r="H32" s="38"/>
    </row>
    <row r="33" spans="2:8" ht="19.5" customHeight="1" x14ac:dyDescent="0.3">
      <c r="B33" s="53"/>
      <c r="C33" s="36"/>
      <c r="D33" s="36"/>
      <c r="E33" s="36"/>
      <c r="F33" s="36"/>
      <c r="G33" s="36"/>
      <c r="H33" s="38"/>
    </row>
    <row r="34" spans="2:8" ht="19.5" customHeight="1" x14ac:dyDescent="0.3">
      <c r="B34" s="53"/>
      <c r="C34" s="36"/>
      <c r="D34" s="36"/>
      <c r="E34" s="36"/>
      <c r="F34" s="36"/>
      <c r="G34" s="36"/>
      <c r="H34" s="38"/>
    </row>
    <row r="35" spans="2:8" ht="19.5" customHeight="1" x14ac:dyDescent="0.3">
      <c r="B35" s="53"/>
      <c r="C35" s="36"/>
      <c r="D35" s="36"/>
      <c r="E35" s="36"/>
      <c r="F35" s="36"/>
      <c r="G35" s="36"/>
      <c r="H35" s="38"/>
    </row>
    <row r="36" spans="2:8" ht="19.5" customHeight="1" x14ac:dyDescent="0.3">
      <c r="B36" s="53"/>
      <c r="C36" s="36"/>
      <c r="D36" s="36"/>
      <c r="E36" s="36"/>
      <c r="F36" s="36"/>
      <c r="G36" s="36"/>
      <c r="H36" s="38"/>
    </row>
    <row r="37" spans="2:8" ht="19.2" customHeight="1" x14ac:dyDescent="0.3">
      <c r="B37" s="54"/>
      <c r="C37" s="40"/>
      <c r="D37" s="40"/>
      <c r="E37" s="40"/>
      <c r="F37" s="40"/>
      <c r="G37" s="40"/>
      <c r="H37" s="42"/>
    </row>
    <row r="38" spans="2:8" ht="19.5" customHeight="1" x14ac:dyDescent="0.3">
      <c r="B38" s="43">
        <f t="array" ref="B38:C38">DaysAndWeeks+DATE(CalendarYear,7,1)-WEEKDAY(DATE(CalendarYear,7,1),(WeekStart="Monday")+1)+36</f>
        <v>46236</v>
      </c>
      <c r="C38" s="44">
        <v>46237</v>
      </c>
      <c r="D38" s="55" t="s">
        <v>26</v>
      </c>
      <c r="E38" s="223"/>
      <c r="F38" s="223"/>
      <c r="G38" s="223"/>
      <c r="H38" s="224"/>
    </row>
    <row r="39" spans="2:8" ht="19.5" customHeight="1" x14ac:dyDescent="0.3">
      <c r="B39" s="46"/>
      <c r="C39" s="47"/>
      <c r="D39" s="56"/>
      <c r="E39" s="223"/>
      <c r="F39" s="223"/>
      <c r="G39" s="223"/>
      <c r="H39" s="224"/>
    </row>
    <row r="40" spans="2:8" ht="19.5" customHeight="1" x14ac:dyDescent="0.3">
      <c r="B40" s="46"/>
      <c r="C40" s="47"/>
      <c r="D40" s="56"/>
      <c r="E40" s="223"/>
      <c r="F40" s="223"/>
      <c r="G40" s="223"/>
      <c r="H40" s="224"/>
    </row>
    <row r="41" spans="2:8" ht="19.5" customHeight="1" x14ac:dyDescent="0.3">
      <c r="B41" s="46"/>
      <c r="C41" s="47"/>
      <c r="D41" s="56"/>
      <c r="E41" s="223"/>
      <c r="F41" s="223"/>
      <c r="G41" s="223"/>
      <c r="H41" s="224"/>
    </row>
    <row r="42" spans="2:8" ht="19.5" customHeight="1" x14ac:dyDescent="0.3">
      <c r="B42" s="46"/>
      <c r="C42" s="47"/>
      <c r="D42" s="56"/>
      <c r="E42" s="223"/>
      <c r="F42" s="223"/>
      <c r="G42" s="223"/>
      <c r="H42" s="224"/>
    </row>
    <row r="43" spans="2:8" ht="19.5" customHeight="1" x14ac:dyDescent="0.3">
      <c r="B43" s="46"/>
      <c r="C43" s="47"/>
      <c r="D43" s="56"/>
      <c r="E43" s="223"/>
      <c r="F43" s="223"/>
      <c r="G43" s="223"/>
      <c r="H43" s="224"/>
    </row>
    <row r="44" spans="2:8" ht="19.2" customHeight="1" x14ac:dyDescent="0.3">
      <c r="B44" s="49"/>
      <c r="C44" s="50"/>
      <c r="D44" s="57"/>
      <c r="E44" s="225"/>
      <c r="F44" s="225"/>
      <c r="G44" s="225"/>
      <c r="H44" s="226"/>
    </row>
  </sheetData>
  <dataConsolidate/>
  <mergeCells count="3">
    <mergeCell ref="J1:J2"/>
    <mergeCell ref="L1:L2"/>
    <mergeCell ref="E38:H44"/>
  </mergeCells>
  <conditionalFormatting sqref="B38:D43">
    <cfRule type="expression" dxfId="2" priority="1">
      <formula>AND(DAY(B38)&gt;=1,DAY(B38)&lt;=15)</formula>
    </cfRule>
  </conditionalFormatting>
  <conditionalFormatting sqref="B3:G8">
    <cfRule type="expression" dxfId="1" priority="2">
      <formula>DAY(B3)&gt;8</formula>
    </cfRule>
  </conditionalFormatting>
  <conditionalFormatting sqref="B31:H31 B32 H32 B33:H36">
    <cfRule type="expression" dxfId="0" priority="3">
      <formula>AND(DAY(B31)&gt;=1,DAY(B31)&lt;=15)</formula>
    </cfRule>
  </conditionalFormatting>
  <dataValidations count="9"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:B8" xr:uid="{5F9C8016-FE41-4AAD-8484-80C5AE05303B}"/>
    <dataValidation allowBlank="1" showInputMessage="1" showErrorMessage="1" prompt="This row &amp; rows 6, 8, 10, 12, &amp; 14 are cells for entering daily notes related to the calendar day in the cell above" sqref="B9" xr:uid="{A6858F13-4183-4C86-916D-7954BCBD021C}"/>
    <dataValidation allowBlank="1" showInputMessage="1" showErrorMessage="1" prompt="Enter Notes in this cell" sqref="E38:H44" xr:uid="{A1BDC713-C21D-4F14-B6F5-206889B13378}"/>
    <dataValidation allowBlank="1" showInputMessage="1" showErrorMessage="1" prompt="Enter Notes in the cell at right" sqref="D38:D44" xr:uid="{8A2BDBB7-B229-49D8-81B0-16FAF37C658C}"/>
    <dataValidation allowBlank="1" showInputMessage="1" showErrorMessage="1" prompt="July month calendar" sqref="A1" xr:uid="{4F621B21-9452-4B18-931F-3F69AA915424}"/>
    <dataValidation allowBlank="1" showInputMessage="1" showErrorMessage="1" prompt="The year in this cell is automatically updated. Select another year in cell K3 of the January worksheet to change the year" sqref="C1" xr:uid="{238770BB-BC22-4216-86EA-4E59844AA672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6B94A21B-1B03-4FBC-9921-910528C20D97}"/>
    <dataValidation allowBlank="1" showErrorMessage="1" prompt="The year in this cell is automatically updated based on the year entered in January worksheet. Calendar below has dates for previous and next month with lighter font shade" sqref="B1" xr:uid="{06B8D912-3B3D-4491-9776-FD88AEEF0805}"/>
    <dataValidation allowBlank="1" showInputMessage="1" showErrorMessage="1" prompt="Automatically determined weekday" sqref="C2:H2" xr:uid="{575598E2-8C8B-4CD0-A9CF-A4E149E6B35D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E6DD-344B-4ADE-B809-1A57EED1DDD8}">
  <dimension ref="A2:M30"/>
  <sheetViews>
    <sheetView topLeftCell="A7" zoomScaleNormal="100" workbookViewId="0">
      <selection activeCell="D15" sqref="D15"/>
    </sheetView>
  </sheetViews>
  <sheetFormatPr defaultRowHeight="14.4" x14ac:dyDescent="0.3"/>
  <cols>
    <col min="1" max="2" width="8.88671875" style="1"/>
    <col min="3" max="3" width="11.109375" style="1" bestFit="1" customWidth="1"/>
    <col min="4" max="4" width="11.88671875" style="1" customWidth="1"/>
    <col min="5" max="5" width="15.44140625" style="1" customWidth="1"/>
    <col min="6" max="6" width="18" style="1" bestFit="1" customWidth="1"/>
    <col min="7" max="7" width="13.5546875" style="1" customWidth="1"/>
    <col min="8" max="10" width="10.88671875" style="1" customWidth="1"/>
    <col min="11" max="11" width="11.44140625" style="1" bestFit="1" customWidth="1"/>
    <col min="12" max="12" width="8.88671875" style="1"/>
    <col min="13" max="13" width="10.109375" style="1" bestFit="1" customWidth="1"/>
    <col min="14" max="16384" width="8.88671875" style="1"/>
  </cols>
  <sheetData>
    <row r="2" spans="1:13" x14ac:dyDescent="0.3">
      <c r="D2" s="227" t="s">
        <v>27</v>
      </c>
      <c r="E2" s="227"/>
      <c r="F2" s="227"/>
      <c r="G2" s="227"/>
      <c r="H2" s="227"/>
      <c r="I2" s="227"/>
      <c r="J2" s="227"/>
      <c r="K2" s="227"/>
    </row>
    <row r="4" spans="1:13" x14ac:dyDescent="0.3">
      <c r="D4" s="228" t="s">
        <v>4</v>
      </c>
      <c r="E4" s="228"/>
      <c r="F4" s="228"/>
      <c r="G4" s="228"/>
      <c r="H4" s="228"/>
      <c r="I4" s="228"/>
      <c r="J4" s="228"/>
      <c r="K4" s="228"/>
    </row>
    <row r="5" spans="1:13" x14ac:dyDescent="0.3">
      <c r="D5" s="58" t="s">
        <v>28</v>
      </c>
      <c r="E5" s="58" t="s">
        <v>12</v>
      </c>
      <c r="F5" s="58" t="s">
        <v>29</v>
      </c>
      <c r="G5" s="58" t="s">
        <v>30</v>
      </c>
      <c r="H5" s="58" t="s">
        <v>31</v>
      </c>
      <c r="I5" s="58" t="s">
        <v>32</v>
      </c>
      <c r="J5" s="58" t="s">
        <v>33</v>
      </c>
      <c r="K5" s="58" t="s">
        <v>34</v>
      </c>
      <c r="L5" s="1" t="s">
        <v>35</v>
      </c>
      <c r="M5" s="1" t="s">
        <v>36</v>
      </c>
    </row>
    <row r="6" spans="1:13" x14ac:dyDescent="0.3">
      <c r="D6" s="15" t="s">
        <v>240</v>
      </c>
      <c r="E6" s="15" t="s">
        <v>4</v>
      </c>
      <c r="F6" s="10" t="s">
        <v>37</v>
      </c>
      <c r="G6" s="10" t="s">
        <v>202</v>
      </c>
      <c r="H6" s="10" t="s">
        <v>225</v>
      </c>
      <c r="I6" s="19">
        <v>1187.1600000000001</v>
      </c>
      <c r="J6" s="19">
        <v>220</v>
      </c>
      <c r="K6" s="19">
        <v>200</v>
      </c>
      <c r="L6" s="1" t="s">
        <v>38</v>
      </c>
      <c r="M6" s="1" t="s">
        <v>39</v>
      </c>
    </row>
    <row r="7" spans="1:13" x14ac:dyDescent="0.3">
      <c r="D7" s="15" t="s">
        <v>241</v>
      </c>
      <c r="E7" s="15" t="s">
        <v>15</v>
      </c>
      <c r="F7" s="10" t="s">
        <v>40</v>
      </c>
      <c r="G7" s="10" t="s">
        <v>203</v>
      </c>
      <c r="H7" s="10" t="s">
        <v>226</v>
      </c>
      <c r="I7" s="19">
        <v>1300</v>
      </c>
      <c r="J7" s="19">
        <v>220</v>
      </c>
      <c r="K7" s="19">
        <v>200</v>
      </c>
      <c r="L7" s="1" t="s">
        <v>41</v>
      </c>
      <c r="M7" s="1" t="s">
        <v>42</v>
      </c>
    </row>
    <row r="8" spans="1:13" x14ac:dyDescent="0.3">
      <c r="D8" s="15" t="s">
        <v>242</v>
      </c>
      <c r="E8" s="15" t="s">
        <v>43</v>
      </c>
      <c r="F8" s="10" t="s">
        <v>44</v>
      </c>
      <c r="G8" s="10" t="s">
        <v>204</v>
      </c>
      <c r="H8" s="10" t="s">
        <v>227</v>
      </c>
      <c r="I8" s="19">
        <v>870.67</v>
      </c>
      <c r="J8" s="19"/>
      <c r="K8" s="19"/>
      <c r="L8" s="1" t="s">
        <v>38</v>
      </c>
      <c r="M8" s="1" t="s">
        <v>39</v>
      </c>
    </row>
    <row r="9" spans="1:13" x14ac:dyDescent="0.3">
      <c r="D9" s="15" t="s">
        <v>243</v>
      </c>
      <c r="E9" s="15" t="s">
        <v>45</v>
      </c>
      <c r="F9" s="10" t="s">
        <v>46</v>
      </c>
      <c r="G9" s="10" t="s">
        <v>47</v>
      </c>
      <c r="H9" s="10" t="s">
        <v>228</v>
      </c>
      <c r="I9" s="19">
        <v>1224.9100000000001</v>
      </c>
      <c r="J9" s="19"/>
      <c r="K9" s="19"/>
      <c r="L9" s="1" t="s">
        <v>38</v>
      </c>
      <c r="M9" s="1" t="s">
        <v>39</v>
      </c>
    </row>
    <row r="10" spans="1:13" x14ac:dyDescent="0.3">
      <c r="D10" s="15" t="s">
        <v>243</v>
      </c>
      <c r="E10" s="15" t="s">
        <v>6</v>
      </c>
      <c r="F10" s="10" t="s">
        <v>48</v>
      </c>
      <c r="G10" s="10" t="s">
        <v>205</v>
      </c>
      <c r="H10" s="10" t="s">
        <v>229</v>
      </c>
      <c r="I10" s="19">
        <v>0</v>
      </c>
      <c r="J10" s="19">
        <v>220</v>
      </c>
      <c r="K10" s="19">
        <v>200</v>
      </c>
      <c r="L10" s="1" t="s">
        <v>41</v>
      </c>
      <c r="M10" s="1" t="s">
        <v>42</v>
      </c>
    </row>
    <row r="11" spans="1:13" x14ac:dyDescent="0.3">
      <c r="D11" s="15" t="s">
        <v>244</v>
      </c>
      <c r="E11" s="15" t="s">
        <v>17</v>
      </c>
      <c r="F11" s="10" t="s">
        <v>49</v>
      </c>
      <c r="G11" s="10" t="s">
        <v>206</v>
      </c>
      <c r="H11" s="10" t="s">
        <v>230</v>
      </c>
      <c r="I11" s="19">
        <v>1080</v>
      </c>
      <c r="J11" s="19">
        <v>220</v>
      </c>
      <c r="K11" s="19">
        <v>200</v>
      </c>
      <c r="L11" s="1" t="s">
        <v>41</v>
      </c>
      <c r="M11" s="1" t="s">
        <v>42</v>
      </c>
    </row>
    <row r="12" spans="1:13" x14ac:dyDescent="0.3">
      <c r="D12" s="15" t="s">
        <v>244</v>
      </c>
      <c r="E12" s="15" t="s">
        <v>50</v>
      </c>
      <c r="F12" s="10" t="s">
        <v>40</v>
      </c>
      <c r="G12" s="10" t="s">
        <v>207</v>
      </c>
      <c r="H12" s="10" t="s">
        <v>231</v>
      </c>
      <c r="I12" s="19">
        <v>0</v>
      </c>
      <c r="J12" s="19">
        <v>220</v>
      </c>
      <c r="K12" s="19">
        <v>200</v>
      </c>
    </row>
    <row r="13" spans="1:13" x14ac:dyDescent="0.3">
      <c r="A13" s="59" t="s">
        <v>51</v>
      </c>
      <c r="C13" s="1" t="s">
        <v>52</v>
      </c>
      <c r="D13" s="15" t="s">
        <v>245</v>
      </c>
      <c r="E13" s="15" t="s">
        <v>53</v>
      </c>
      <c r="F13" s="10" t="s">
        <v>54</v>
      </c>
      <c r="G13" s="10" t="s">
        <v>208</v>
      </c>
      <c r="H13" s="10" t="s">
        <v>232</v>
      </c>
      <c r="I13" s="19">
        <v>1332.42</v>
      </c>
      <c r="J13" s="19">
        <v>2</v>
      </c>
      <c r="K13" s="19">
        <v>1.95</v>
      </c>
      <c r="L13" s="1" t="s">
        <v>38</v>
      </c>
      <c r="M13" s="1" t="s">
        <v>39</v>
      </c>
    </row>
    <row r="14" spans="1:13" x14ac:dyDescent="0.3">
      <c r="C14" s="1" t="s">
        <v>52</v>
      </c>
      <c r="D14" s="15" t="s">
        <v>239</v>
      </c>
      <c r="E14" s="15" t="s">
        <v>9</v>
      </c>
      <c r="F14" s="10" t="s">
        <v>55</v>
      </c>
      <c r="G14" s="10" t="s">
        <v>70</v>
      </c>
      <c r="H14" s="10" t="s">
        <v>218</v>
      </c>
      <c r="I14" s="19">
        <v>1187.1600000000001</v>
      </c>
      <c r="J14" s="19">
        <v>2</v>
      </c>
      <c r="K14" s="19">
        <v>1.95</v>
      </c>
      <c r="L14" s="1" t="s">
        <v>38</v>
      </c>
      <c r="M14" s="1" t="s">
        <v>39</v>
      </c>
    </row>
    <row r="18" spans="1:13" x14ac:dyDescent="0.3">
      <c r="D18" s="228" t="s">
        <v>56</v>
      </c>
      <c r="E18" s="228"/>
      <c r="F18" s="228"/>
      <c r="G18" s="228"/>
      <c r="H18" s="228"/>
      <c r="I18" s="228"/>
      <c r="J18" s="228"/>
      <c r="K18" s="228"/>
    </row>
    <row r="19" spans="1:13" x14ac:dyDescent="0.3">
      <c r="D19" s="58" t="s">
        <v>28</v>
      </c>
      <c r="E19" s="58" t="s">
        <v>12</v>
      </c>
      <c r="F19" s="58" t="s">
        <v>29</v>
      </c>
      <c r="G19" s="58" t="s">
        <v>30</v>
      </c>
      <c r="H19" s="58" t="s">
        <v>31</v>
      </c>
      <c r="I19" s="58" t="s">
        <v>32</v>
      </c>
      <c r="J19" s="58" t="s">
        <v>33</v>
      </c>
      <c r="K19" s="58" t="s">
        <v>34</v>
      </c>
    </row>
    <row r="20" spans="1:13" x14ac:dyDescent="0.3">
      <c r="D20" s="15" t="s">
        <v>233</v>
      </c>
      <c r="E20" s="15" t="s">
        <v>56</v>
      </c>
      <c r="F20" s="10" t="s">
        <v>40</v>
      </c>
      <c r="G20" s="10" t="s">
        <v>209</v>
      </c>
      <c r="H20" s="10" t="s">
        <v>217</v>
      </c>
      <c r="I20" s="19">
        <v>1083.8499999999999</v>
      </c>
      <c r="J20" s="19">
        <v>220</v>
      </c>
      <c r="K20" s="19">
        <v>200</v>
      </c>
      <c r="L20" s="1" t="s">
        <v>41</v>
      </c>
      <c r="M20" s="1" t="s">
        <v>16</v>
      </c>
    </row>
    <row r="21" spans="1:13" x14ac:dyDescent="0.3">
      <c r="D21" s="15" t="s">
        <v>234</v>
      </c>
      <c r="E21" s="15" t="s">
        <v>57</v>
      </c>
      <c r="F21" s="10" t="s">
        <v>58</v>
      </c>
      <c r="G21" s="10" t="s">
        <v>210</v>
      </c>
      <c r="H21" s="10" t="s">
        <v>218</v>
      </c>
      <c r="I21" s="19">
        <v>1501.81</v>
      </c>
      <c r="J21" s="19"/>
      <c r="K21" s="19"/>
      <c r="L21" s="1" t="s">
        <v>38</v>
      </c>
      <c r="M21" s="1" t="s">
        <v>39</v>
      </c>
    </row>
    <row r="22" spans="1:13" x14ac:dyDescent="0.3">
      <c r="D22" s="15" t="s">
        <v>235</v>
      </c>
      <c r="E22" s="15" t="s">
        <v>59</v>
      </c>
      <c r="F22" s="10" t="s">
        <v>60</v>
      </c>
      <c r="G22" s="10" t="s">
        <v>216</v>
      </c>
      <c r="H22" s="10" t="s">
        <v>219</v>
      </c>
      <c r="I22" s="19">
        <v>1600</v>
      </c>
      <c r="J22" s="19"/>
      <c r="K22" s="19"/>
      <c r="L22" s="1" t="s">
        <v>41</v>
      </c>
      <c r="M22" s="1" t="s">
        <v>16</v>
      </c>
    </row>
    <row r="23" spans="1:13" x14ac:dyDescent="0.3">
      <c r="D23" s="15" t="s">
        <v>236</v>
      </c>
      <c r="E23" s="15" t="s">
        <v>61</v>
      </c>
      <c r="F23" s="10" t="s">
        <v>62</v>
      </c>
      <c r="G23" s="10" t="s">
        <v>211</v>
      </c>
      <c r="H23" s="10" t="s">
        <v>220</v>
      </c>
      <c r="I23" s="19">
        <v>1612.02</v>
      </c>
      <c r="J23" s="19"/>
      <c r="K23" s="19"/>
      <c r="L23" s="1" t="s">
        <v>38</v>
      </c>
      <c r="M23" s="1" t="s">
        <v>39</v>
      </c>
    </row>
    <row r="24" spans="1:13" x14ac:dyDescent="0.3">
      <c r="A24" s="59" t="s">
        <v>51</v>
      </c>
      <c r="C24" s="1" t="s">
        <v>52</v>
      </c>
      <c r="D24" s="15" t="s">
        <v>237</v>
      </c>
      <c r="E24" s="15" t="s">
        <v>63</v>
      </c>
      <c r="F24" s="10" t="s">
        <v>64</v>
      </c>
      <c r="G24" s="10" t="s">
        <v>212</v>
      </c>
      <c r="H24" s="10" t="s">
        <v>221</v>
      </c>
      <c r="I24" s="19">
        <v>1500</v>
      </c>
      <c r="J24" s="19">
        <v>2</v>
      </c>
      <c r="K24" s="19">
        <v>1.95</v>
      </c>
      <c r="L24" s="1" t="s">
        <v>41</v>
      </c>
      <c r="M24" s="1" t="s">
        <v>42</v>
      </c>
    </row>
    <row r="25" spans="1:13" x14ac:dyDescent="0.3">
      <c r="A25" s="59" t="s">
        <v>51</v>
      </c>
      <c r="C25" s="1" t="s">
        <v>52</v>
      </c>
      <c r="D25" s="15" t="s">
        <v>237</v>
      </c>
      <c r="E25" s="15" t="s">
        <v>8</v>
      </c>
      <c r="F25" s="10" t="s">
        <v>65</v>
      </c>
      <c r="G25" s="10" t="s">
        <v>213</v>
      </c>
      <c r="H25" s="10" t="s">
        <v>222</v>
      </c>
      <c r="I25" s="19">
        <v>1600</v>
      </c>
      <c r="J25" s="19">
        <v>2</v>
      </c>
      <c r="K25" s="19">
        <v>1.95</v>
      </c>
      <c r="L25" s="1" t="s">
        <v>38</v>
      </c>
      <c r="M25" s="1" t="s">
        <v>39</v>
      </c>
    </row>
    <row r="26" spans="1:13" x14ac:dyDescent="0.3">
      <c r="A26" s="59"/>
      <c r="D26" s="15" t="s">
        <v>66</v>
      </c>
      <c r="E26" s="15" t="s">
        <v>67</v>
      </c>
      <c r="F26" s="10" t="s">
        <v>40</v>
      </c>
      <c r="G26" s="10" t="s">
        <v>214</v>
      </c>
      <c r="H26" s="10" t="s">
        <v>223</v>
      </c>
      <c r="I26" s="19">
        <v>1500</v>
      </c>
      <c r="J26" s="19">
        <v>220</v>
      </c>
      <c r="K26" s="19">
        <v>200</v>
      </c>
    </row>
    <row r="27" spans="1:13" x14ac:dyDescent="0.3">
      <c r="C27" s="60"/>
      <c r="D27" s="61" t="s">
        <v>233</v>
      </c>
      <c r="E27" s="61" t="s">
        <v>68</v>
      </c>
      <c r="F27" s="61" t="s">
        <v>69</v>
      </c>
      <c r="G27" s="61" t="s">
        <v>70</v>
      </c>
      <c r="H27" s="61"/>
      <c r="I27" s="62">
        <v>1124.3</v>
      </c>
      <c r="J27" s="62">
        <v>2</v>
      </c>
      <c r="K27" s="63">
        <v>0.06</v>
      </c>
      <c r="L27" s="60" t="s">
        <v>38</v>
      </c>
      <c r="M27" s="1" t="s">
        <v>39</v>
      </c>
    </row>
    <row r="28" spans="1:13" x14ac:dyDescent="0.3">
      <c r="C28" s="60"/>
      <c r="D28" s="61" t="s">
        <v>238</v>
      </c>
      <c r="E28" s="61" t="s">
        <v>71</v>
      </c>
      <c r="F28" s="61" t="s">
        <v>69</v>
      </c>
      <c r="G28" s="61" t="s">
        <v>215</v>
      </c>
      <c r="H28" s="61" t="s">
        <v>224</v>
      </c>
      <c r="I28" s="62">
        <v>1086.55</v>
      </c>
      <c r="J28" s="62">
        <v>205</v>
      </c>
      <c r="K28" s="63">
        <v>0.06</v>
      </c>
      <c r="L28" s="60" t="s">
        <v>38</v>
      </c>
      <c r="M28" s="1" t="s">
        <v>39</v>
      </c>
    </row>
    <row r="29" spans="1:13" x14ac:dyDescent="0.3">
      <c r="C29" s="60" t="s">
        <v>52</v>
      </c>
      <c r="D29" s="61" t="s">
        <v>239</v>
      </c>
      <c r="E29" s="61"/>
      <c r="F29" s="61"/>
      <c r="G29" s="61"/>
      <c r="H29" s="61"/>
      <c r="I29" s="61"/>
      <c r="J29" s="62"/>
      <c r="K29" s="62"/>
      <c r="L29" s="60"/>
    </row>
    <row r="30" spans="1:13" x14ac:dyDescent="0.3">
      <c r="C30" s="60" t="s">
        <v>52</v>
      </c>
      <c r="D30" s="61" t="s">
        <v>239</v>
      </c>
      <c r="E30" s="61"/>
      <c r="F30" s="61"/>
      <c r="G30" s="61"/>
      <c r="H30" s="61"/>
      <c r="I30" s="61"/>
      <c r="J30" s="62"/>
      <c r="K30" s="62"/>
      <c r="L30" s="60"/>
    </row>
  </sheetData>
  <mergeCells count="3">
    <mergeCell ref="D2:K2"/>
    <mergeCell ref="D4:K4"/>
    <mergeCell ref="D18:K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05ED-111D-4EF6-8DA5-E5EB0F31928C}">
  <dimension ref="B1:AF155"/>
  <sheetViews>
    <sheetView workbookViewId="0">
      <selection activeCell="W31" sqref="W31"/>
    </sheetView>
  </sheetViews>
  <sheetFormatPr defaultRowHeight="14.4" x14ac:dyDescent="0.3"/>
  <cols>
    <col min="1" max="1" width="0.88671875" customWidth="1"/>
    <col min="2" max="2" width="10.109375" customWidth="1"/>
    <col min="3" max="3" width="11" customWidth="1"/>
    <col min="5" max="5" width="11.5546875" customWidth="1"/>
    <col min="6" max="6" width="17.33203125" customWidth="1"/>
    <col min="7" max="7" width="9.44140625" customWidth="1"/>
    <col min="8" max="8" width="21.33203125" bestFit="1" customWidth="1"/>
    <col min="9" max="9" width="0.88671875" customWidth="1"/>
    <col min="10" max="10" width="10.109375" customWidth="1"/>
    <col min="11" max="11" width="11" customWidth="1"/>
    <col min="13" max="13" width="11.5546875" customWidth="1"/>
    <col min="14" max="14" width="17.33203125" customWidth="1"/>
    <col min="15" max="15" width="9.44140625" customWidth="1"/>
    <col min="16" max="16" width="21.33203125" bestFit="1" customWidth="1"/>
    <col min="17" max="17" width="0.88671875" customWidth="1"/>
    <col min="18" max="18" width="10.109375" customWidth="1"/>
    <col min="19" max="19" width="11" customWidth="1"/>
    <col min="21" max="21" width="11.5546875" customWidth="1"/>
    <col min="22" max="22" width="17.33203125" customWidth="1"/>
    <col min="23" max="23" width="9.44140625" customWidth="1"/>
    <col min="24" max="24" width="21.33203125" bestFit="1" customWidth="1"/>
    <col min="25" max="25" width="0.88671875" customWidth="1"/>
    <col min="26" max="26" width="10.109375" customWidth="1"/>
    <col min="27" max="27" width="11" customWidth="1"/>
    <col min="29" max="29" width="11.5546875" customWidth="1"/>
    <col min="30" max="30" width="17.33203125" customWidth="1"/>
    <col min="31" max="31" width="9.44140625" customWidth="1"/>
    <col min="32" max="32" width="21.33203125" bestFit="1" customWidth="1"/>
  </cols>
  <sheetData>
    <row r="1" spans="2:32" ht="15" thickBot="1" x14ac:dyDescent="0.35"/>
    <row r="2" spans="2:32" ht="15.6" x14ac:dyDescent="0.3">
      <c r="B2" s="207" t="s">
        <v>72</v>
      </c>
      <c r="C2" s="208"/>
      <c r="D2" s="208"/>
      <c r="E2" s="208"/>
      <c r="F2" s="208"/>
      <c r="G2" s="209">
        <v>46307</v>
      </c>
      <c r="H2" s="210"/>
      <c r="I2" s="64"/>
      <c r="J2" s="207" t="s">
        <v>72</v>
      </c>
      <c r="K2" s="208"/>
      <c r="L2" s="208"/>
      <c r="M2" s="208"/>
      <c r="N2" s="208"/>
      <c r="O2" s="209">
        <v>46314</v>
      </c>
      <c r="P2" s="210"/>
      <c r="Q2" s="64"/>
      <c r="R2" s="207" t="s">
        <v>72</v>
      </c>
      <c r="S2" s="208"/>
      <c r="T2" s="208"/>
      <c r="U2" s="208"/>
      <c r="V2" s="208"/>
      <c r="W2" s="209">
        <v>46321</v>
      </c>
      <c r="X2" s="210"/>
      <c r="Y2" s="64"/>
      <c r="Z2" s="207" t="s">
        <v>72</v>
      </c>
      <c r="AA2" s="208"/>
      <c r="AB2" s="208"/>
      <c r="AC2" s="208"/>
      <c r="AD2" s="208"/>
      <c r="AE2" s="209">
        <v>46328</v>
      </c>
      <c r="AF2" s="210"/>
    </row>
    <row r="3" spans="2:32" ht="15" thickBot="1" x14ac:dyDescent="0.35">
      <c r="B3" s="65" t="s">
        <v>12</v>
      </c>
      <c r="C3" s="65" t="s">
        <v>73</v>
      </c>
      <c r="D3" s="66" t="s">
        <v>29</v>
      </c>
      <c r="E3" s="66" t="s">
        <v>74</v>
      </c>
      <c r="F3" s="67" t="s">
        <v>75</v>
      </c>
      <c r="G3" s="68" t="s">
        <v>76</v>
      </c>
      <c r="H3" s="69" t="s">
        <v>77</v>
      </c>
      <c r="J3" s="65" t="s">
        <v>12</v>
      </c>
      <c r="K3" s="65" t="s">
        <v>73</v>
      </c>
      <c r="L3" s="66" t="s">
        <v>29</v>
      </c>
      <c r="M3" s="66" t="s">
        <v>74</v>
      </c>
      <c r="N3" s="67" t="s">
        <v>75</v>
      </c>
      <c r="O3" s="68" t="s">
        <v>76</v>
      </c>
      <c r="P3" s="69" t="s">
        <v>77</v>
      </c>
      <c r="R3" s="65" t="s">
        <v>12</v>
      </c>
      <c r="S3" s="65" t="s">
        <v>73</v>
      </c>
      <c r="T3" s="66" t="s">
        <v>29</v>
      </c>
      <c r="U3" s="66" t="s">
        <v>74</v>
      </c>
      <c r="V3" s="67" t="s">
        <v>75</v>
      </c>
      <c r="W3" s="68" t="s">
        <v>76</v>
      </c>
      <c r="X3" s="69" t="s">
        <v>77</v>
      </c>
      <c r="Z3" s="65" t="s">
        <v>12</v>
      </c>
      <c r="AA3" s="65" t="s">
        <v>73</v>
      </c>
      <c r="AB3" s="66" t="s">
        <v>29</v>
      </c>
      <c r="AC3" s="66" t="s">
        <v>74</v>
      </c>
      <c r="AD3" s="67" t="s">
        <v>75</v>
      </c>
      <c r="AE3" s="68" t="s">
        <v>76</v>
      </c>
      <c r="AF3" s="69" t="s">
        <v>77</v>
      </c>
    </row>
    <row r="4" spans="2:32" x14ac:dyDescent="0.3">
      <c r="B4" s="70" t="s">
        <v>78</v>
      </c>
      <c r="C4" s="70" t="s">
        <v>79</v>
      </c>
      <c r="D4" s="71">
        <v>598</v>
      </c>
      <c r="E4" s="72">
        <v>1.2</v>
      </c>
      <c r="F4" s="73" t="s">
        <v>40</v>
      </c>
      <c r="G4" s="74"/>
      <c r="H4" s="75" t="s">
        <v>80</v>
      </c>
      <c r="J4" s="76" t="s">
        <v>81</v>
      </c>
      <c r="K4" s="70" t="s">
        <v>82</v>
      </c>
      <c r="L4" s="71">
        <v>202</v>
      </c>
      <c r="M4" s="72">
        <v>1.2</v>
      </c>
      <c r="N4" s="71" t="s">
        <v>40</v>
      </c>
      <c r="O4" s="74"/>
      <c r="P4" s="75" t="s">
        <v>80</v>
      </c>
      <c r="R4" s="77" t="s">
        <v>81</v>
      </c>
      <c r="S4" s="78" t="s">
        <v>82</v>
      </c>
      <c r="T4" s="79">
        <v>202</v>
      </c>
      <c r="U4" s="80">
        <v>1.2</v>
      </c>
      <c r="V4" s="79" t="s">
        <v>40</v>
      </c>
      <c r="W4" s="81"/>
      <c r="X4" s="82" t="s">
        <v>80</v>
      </c>
      <c r="Z4" s="70" t="s">
        <v>78</v>
      </c>
      <c r="AA4" s="70" t="s">
        <v>79</v>
      </c>
      <c r="AB4" s="71">
        <v>251</v>
      </c>
      <c r="AC4" s="72">
        <v>1.2</v>
      </c>
      <c r="AD4" s="73" t="s">
        <v>40</v>
      </c>
      <c r="AE4" s="74"/>
      <c r="AF4" s="75" t="s">
        <v>80</v>
      </c>
    </row>
    <row r="5" spans="2:32" x14ac:dyDescent="0.3">
      <c r="B5" s="83" t="s">
        <v>81</v>
      </c>
      <c r="C5" s="84" t="s">
        <v>82</v>
      </c>
      <c r="D5" s="85">
        <v>202</v>
      </c>
      <c r="E5" s="86">
        <v>1.2</v>
      </c>
      <c r="F5" s="85" t="s">
        <v>83</v>
      </c>
      <c r="G5" s="87"/>
      <c r="H5" s="88" t="s">
        <v>80</v>
      </c>
      <c r="J5" s="83" t="s">
        <v>84</v>
      </c>
      <c r="K5" s="84" t="s">
        <v>85</v>
      </c>
      <c r="L5" s="85">
        <v>203</v>
      </c>
      <c r="M5" s="85">
        <v>1.45</v>
      </c>
      <c r="N5" s="85" t="s">
        <v>86</v>
      </c>
      <c r="O5" s="87"/>
      <c r="P5" s="89"/>
      <c r="R5" s="83" t="s">
        <v>84</v>
      </c>
      <c r="S5" s="84" t="s">
        <v>85</v>
      </c>
      <c r="T5" s="85">
        <v>203</v>
      </c>
      <c r="U5" s="85">
        <v>1.45</v>
      </c>
      <c r="V5" s="85" t="s">
        <v>86</v>
      </c>
      <c r="W5" s="87"/>
      <c r="X5" s="89"/>
      <c r="Z5" s="83" t="s">
        <v>81</v>
      </c>
      <c r="AA5" s="84" t="s">
        <v>82</v>
      </c>
      <c r="AB5" s="85" t="s">
        <v>87</v>
      </c>
      <c r="AC5" s="86">
        <v>1.2</v>
      </c>
      <c r="AD5" s="85" t="s">
        <v>40</v>
      </c>
      <c r="AE5" s="87"/>
      <c r="AF5" s="88" t="s">
        <v>80</v>
      </c>
    </row>
    <row r="6" spans="2:32" x14ac:dyDescent="0.3">
      <c r="B6" s="83" t="s">
        <v>88</v>
      </c>
      <c r="C6" s="84" t="s">
        <v>89</v>
      </c>
      <c r="D6" s="90" t="s">
        <v>90</v>
      </c>
      <c r="E6" s="91">
        <v>1.3</v>
      </c>
      <c r="F6" s="85"/>
      <c r="G6" s="87"/>
      <c r="H6" s="89"/>
      <c r="J6" s="83" t="s">
        <v>91</v>
      </c>
      <c r="K6" s="84" t="s">
        <v>92</v>
      </c>
      <c r="L6" s="85">
        <v>205</v>
      </c>
      <c r="M6" s="86">
        <v>1.3</v>
      </c>
      <c r="N6" s="85" t="s">
        <v>46</v>
      </c>
      <c r="O6" s="87"/>
      <c r="P6" s="89"/>
      <c r="R6" s="83" t="s">
        <v>91</v>
      </c>
      <c r="S6" s="84" t="s">
        <v>92</v>
      </c>
      <c r="T6" s="85">
        <v>205</v>
      </c>
      <c r="U6" s="86">
        <v>1.3</v>
      </c>
      <c r="V6" s="85" t="s">
        <v>46</v>
      </c>
      <c r="W6" s="87"/>
      <c r="X6" s="89"/>
      <c r="Z6" s="83" t="s">
        <v>88</v>
      </c>
      <c r="AA6" s="84" t="s">
        <v>93</v>
      </c>
      <c r="AB6" s="90" t="s">
        <v>90</v>
      </c>
      <c r="AC6" s="91">
        <v>1.3</v>
      </c>
      <c r="AD6" s="85"/>
      <c r="AE6" s="87"/>
      <c r="AF6" s="89"/>
    </row>
    <row r="7" spans="2:32" x14ac:dyDescent="0.3">
      <c r="B7" s="83" t="s">
        <v>94</v>
      </c>
      <c r="C7" s="84" t="s">
        <v>95</v>
      </c>
      <c r="D7" s="85" t="s">
        <v>90</v>
      </c>
      <c r="E7" s="86">
        <v>3</v>
      </c>
      <c r="F7" s="85"/>
      <c r="G7" s="87"/>
      <c r="H7" s="89"/>
      <c r="J7" s="83" t="s">
        <v>96</v>
      </c>
      <c r="K7" s="84" t="s">
        <v>97</v>
      </c>
      <c r="L7" s="90">
        <v>207</v>
      </c>
      <c r="M7" s="86">
        <v>1.3</v>
      </c>
      <c r="N7" s="90" t="s">
        <v>98</v>
      </c>
      <c r="O7" s="87"/>
      <c r="P7" s="89"/>
      <c r="R7" s="83" t="s">
        <v>96</v>
      </c>
      <c r="S7" s="84" t="s">
        <v>97</v>
      </c>
      <c r="T7" s="90">
        <v>207</v>
      </c>
      <c r="U7" s="86">
        <v>1.3</v>
      </c>
      <c r="V7" s="90" t="s">
        <v>98</v>
      </c>
      <c r="W7" s="87"/>
      <c r="X7" s="89"/>
      <c r="Z7" s="83" t="s">
        <v>94</v>
      </c>
      <c r="AA7" s="84" t="s">
        <v>95</v>
      </c>
      <c r="AB7" s="85">
        <v>401</v>
      </c>
      <c r="AC7" s="86">
        <v>3</v>
      </c>
      <c r="AD7" s="85" t="s">
        <v>99</v>
      </c>
      <c r="AE7" s="87"/>
      <c r="AF7" s="89"/>
    </row>
    <row r="8" spans="2:32" x14ac:dyDescent="0.3">
      <c r="B8" s="83" t="s">
        <v>100</v>
      </c>
      <c r="C8" s="84" t="s">
        <v>101</v>
      </c>
      <c r="D8" s="85">
        <v>211</v>
      </c>
      <c r="E8" s="86">
        <v>2</v>
      </c>
      <c r="F8" s="90" t="s">
        <v>48</v>
      </c>
      <c r="G8" s="87"/>
      <c r="H8" s="88" t="s">
        <v>102</v>
      </c>
      <c r="J8" s="84" t="s">
        <v>103</v>
      </c>
      <c r="K8" s="84" t="s">
        <v>104</v>
      </c>
      <c r="L8" s="85">
        <v>208</v>
      </c>
      <c r="M8" s="86">
        <v>2</v>
      </c>
      <c r="N8" s="90" t="s">
        <v>58</v>
      </c>
      <c r="O8" s="87"/>
      <c r="P8" s="88"/>
      <c r="R8" s="84" t="s">
        <v>103</v>
      </c>
      <c r="S8" s="84" t="s">
        <v>104</v>
      </c>
      <c r="T8" s="85">
        <v>208</v>
      </c>
      <c r="U8" s="86">
        <v>2</v>
      </c>
      <c r="V8" s="90" t="s">
        <v>58</v>
      </c>
      <c r="W8" s="87"/>
      <c r="X8" s="88"/>
      <c r="Z8" s="83" t="s">
        <v>100</v>
      </c>
      <c r="AA8" s="84" t="s">
        <v>101</v>
      </c>
      <c r="AB8" s="85">
        <v>211</v>
      </c>
      <c r="AC8" s="86">
        <v>2</v>
      </c>
      <c r="AD8" s="90" t="s">
        <v>48</v>
      </c>
      <c r="AE8" s="87"/>
      <c r="AF8" s="88" t="s">
        <v>102</v>
      </c>
    </row>
    <row r="9" spans="2:32" x14ac:dyDescent="0.3">
      <c r="B9" s="83" t="s">
        <v>91</v>
      </c>
      <c r="C9" s="84" t="s">
        <v>92</v>
      </c>
      <c r="D9" s="85">
        <v>205</v>
      </c>
      <c r="E9" s="86">
        <v>1.3</v>
      </c>
      <c r="F9" s="85" t="s">
        <v>46</v>
      </c>
      <c r="G9" s="87"/>
      <c r="H9" s="89"/>
      <c r="J9" s="83" t="s">
        <v>100</v>
      </c>
      <c r="K9" s="84" t="s">
        <v>101</v>
      </c>
      <c r="L9" s="85">
        <v>211</v>
      </c>
      <c r="M9" s="86">
        <v>2</v>
      </c>
      <c r="N9" s="90" t="s">
        <v>48</v>
      </c>
      <c r="O9" s="87"/>
      <c r="P9" s="88" t="s">
        <v>102</v>
      </c>
      <c r="R9" s="92" t="s">
        <v>100</v>
      </c>
      <c r="S9" s="93" t="s">
        <v>101</v>
      </c>
      <c r="T9" s="94">
        <v>211</v>
      </c>
      <c r="U9" s="95">
        <v>2</v>
      </c>
      <c r="V9" s="96" t="s">
        <v>48</v>
      </c>
      <c r="W9" s="97"/>
      <c r="X9" s="98" t="s">
        <v>105</v>
      </c>
      <c r="Z9" s="83" t="s">
        <v>91</v>
      </c>
      <c r="AA9" s="84" t="s">
        <v>92</v>
      </c>
      <c r="AB9" s="85">
        <v>205</v>
      </c>
      <c r="AC9" s="86">
        <v>1.3</v>
      </c>
      <c r="AD9" s="85" t="s">
        <v>46</v>
      </c>
      <c r="AE9" s="87"/>
      <c r="AF9" s="89"/>
    </row>
    <row r="10" spans="2:32" x14ac:dyDescent="0.3">
      <c r="B10" s="83" t="s">
        <v>106</v>
      </c>
      <c r="C10" s="84" t="s">
        <v>107</v>
      </c>
      <c r="D10" s="85">
        <v>401</v>
      </c>
      <c r="E10" s="86">
        <v>2</v>
      </c>
      <c r="F10" s="85" t="s">
        <v>108</v>
      </c>
      <c r="G10" s="87"/>
      <c r="H10" s="89"/>
      <c r="J10" s="84" t="s">
        <v>109</v>
      </c>
      <c r="K10" s="84" t="s">
        <v>110</v>
      </c>
      <c r="L10" s="85">
        <v>242</v>
      </c>
      <c r="M10" s="85">
        <v>1.45</v>
      </c>
      <c r="N10" s="90" t="s">
        <v>111</v>
      </c>
      <c r="O10" s="87"/>
      <c r="P10" s="89"/>
      <c r="R10" s="84" t="s">
        <v>109</v>
      </c>
      <c r="S10" s="84" t="s">
        <v>110</v>
      </c>
      <c r="T10" s="85">
        <v>242</v>
      </c>
      <c r="U10" s="85">
        <v>1.45</v>
      </c>
      <c r="V10" s="90" t="s">
        <v>111</v>
      </c>
      <c r="W10" s="87"/>
      <c r="X10" s="89"/>
      <c r="Z10" s="83" t="s">
        <v>106</v>
      </c>
      <c r="AA10" s="84" t="s">
        <v>107</v>
      </c>
      <c r="AB10" s="85" t="s">
        <v>90</v>
      </c>
      <c r="AC10" s="86">
        <v>2</v>
      </c>
      <c r="AD10" s="85"/>
      <c r="AE10" s="87"/>
      <c r="AF10" s="89"/>
    </row>
    <row r="11" spans="2:32" x14ac:dyDescent="0.3">
      <c r="B11" s="84" t="s">
        <v>112</v>
      </c>
      <c r="C11" s="84" t="s">
        <v>113</v>
      </c>
      <c r="D11" s="85">
        <v>243</v>
      </c>
      <c r="E11" s="86">
        <v>1.1000000000000001</v>
      </c>
      <c r="F11" s="90" t="s">
        <v>114</v>
      </c>
      <c r="G11" s="87"/>
      <c r="H11" s="89"/>
      <c r="J11" s="84" t="s">
        <v>112</v>
      </c>
      <c r="K11" s="84" t="s">
        <v>113</v>
      </c>
      <c r="L11" s="85">
        <v>243</v>
      </c>
      <c r="M11" s="86">
        <v>1.1000000000000001</v>
      </c>
      <c r="N11" s="90" t="s">
        <v>114</v>
      </c>
      <c r="O11" s="87"/>
      <c r="P11" s="89"/>
      <c r="R11" s="99" t="s">
        <v>112</v>
      </c>
      <c r="S11" s="99" t="s">
        <v>113</v>
      </c>
      <c r="T11" s="100">
        <v>243</v>
      </c>
      <c r="U11" s="101">
        <v>1.1000000000000001</v>
      </c>
      <c r="V11" s="102" t="s">
        <v>114</v>
      </c>
      <c r="W11" s="103">
        <v>140</v>
      </c>
      <c r="X11" s="104" t="s">
        <v>115</v>
      </c>
      <c r="Z11" s="84" t="s">
        <v>112</v>
      </c>
      <c r="AA11" s="84" t="s">
        <v>113</v>
      </c>
      <c r="AB11" s="85">
        <v>243</v>
      </c>
      <c r="AC11" s="86">
        <v>1.1000000000000001</v>
      </c>
      <c r="AD11" s="90" t="s">
        <v>114</v>
      </c>
      <c r="AE11" s="87"/>
      <c r="AF11" s="89"/>
    </row>
    <row r="12" spans="2:32" x14ac:dyDescent="0.3">
      <c r="B12" s="84" t="s">
        <v>116</v>
      </c>
      <c r="C12" s="84" t="s">
        <v>66</v>
      </c>
      <c r="D12" s="85">
        <v>593</v>
      </c>
      <c r="E12" s="86">
        <v>3</v>
      </c>
      <c r="F12" s="90" t="s">
        <v>117</v>
      </c>
      <c r="G12" s="87"/>
      <c r="H12" s="88" t="s">
        <v>80</v>
      </c>
      <c r="J12" s="83" t="s">
        <v>94</v>
      </c>
      <c r="K12" s="84" t="s">
        <v>95</v>
      </c>
      <c r="L12" s="85">
        <v>401</v>
      </c>
      <c r="M12" s="86">
        <v>3</v>
      </c>
      <c r="N12" s="85" t="s">
        <v>99</v>
      </c>
      <c r="O12" s="87"/>
      <c r="P12" s="89"/>
      <c r="R12" s="93" t="s">
        <v>78</v>
      </c>
      <c r="S12" s="93" t="s">
        <v>79</v>
      </c>
      <c r="T12" s="94">
        <v>252</v>
      </c>
      <c r="U12" s="95">
        <v>1.2</v>
      </c>
      <c r="V12" s="96" t="s">
        <v>40</v>
      </c>
      <c r="W12" s="97"/>
      <c r="X12" s="98" t="s">
        <v>80</v>
      </c>
      <c r="Z12" s="84" t="s">
        <v>116</v>
      </c>
      <c r="AA12" s="84" t="s">
        <v>89</v>
      </c>
      <c r="AB12" s="85">
        <v>593</v>
      </c>
      <c r="AC12" s="86">
        <v>3</v>
      </c>
      <c r="AD12" s="90" t="s">
        <v>117</v>
      </c>
      <c r="AE12" s="87"/>
      <c r="AF12" s="88" t="s">
        <v>80</v>
      </c>
    </row>
    <row r="13" spans="2:32" x14ac:dyDescent="0.3">
      <c r="B13" s="84" t="s">
        <v>118</v>
      </c>
      <c r="C13" s="84" t="s">
        <v>66</v>
      </c>
      <c r="D13" s="85">
        <v>587</v>
      </c>
      <c r="E13" s="86">
        <v>3</v>
      </c>
      <c r="F13" s="90" t="s">
        <v>119</v>
      </c>
      <c r="G13" s="87"/>
      <c r="H13" s="88" t="s">
        <v>80</v>
      </c>
      <c r="J13" s="84" t="s">
        <v>118</v>
      </c>
      <c r="K13" s="84" t="s">
        <v>66</v>
      </c>
      <c r="L13" s="85">
        <v>587</v>
      </c>
      <c r="M13" s="86">
        <v>3</v>
      </c>
      <c r="N13" s="90" t="s">
        <v>119</v>
      </c>
      <c r="O13" s="87"/>
      <c r="P13" s="88" t="s">
        <v>80</v>
      </c>
      <c r="R13" s="83" t="s">
        <v>94</v>
      </c>
      <c r="S13" s="84" t="s">
        <v>95</v>
      </c>
      <c r="T13" s="85">
        <v>401</v>
      </c>
      <c r="U13" s="86">
        <v>2</v>
      </c>
      <c r="V13" s="85" t="s">
        <v>99</v>
      </c>
      <c r="W13" s="87"/>
      <c r="X13" s="89"/>
      <c r="Z13" s="84" t="s">
        <v>118</v>
      </c>
      <c r="AA13" s="84" t="s">
        <v>66</v>
      </c>
      <c r="AB13" s="85">
        <v>587</v>
      </c>
      <c r="AC13" s="86">
        <v>3</v>
      </c>
      <c r="AD13" s="90" t="s">
        <v>119</v>
      </c>
      <c r="AE13" s="87"/>
      <c r="AF13" s="88" t="s">
        <v>80</v>
      </c>
    </row>
    <row r="14" spans="2:32" x14ac:dyDescent="0.3">
      <c r="B14" s="84" t="s">
        <v>103</v>
      </c>
      <c r="C14" s="84" t="s">
        <v>104</v>
      </c>
      <c r="D14" s="85">
        <v>208</v>
      </c>
      <c r="E14" s="86">
        <v>2</v>
      </c>
      <c r="F14" s="90" t="s">
        <v>58</v>
      </c>
      <c r="G14" s="87"/>
      <c r="H14" s="88"/>
      <c r="J14" s="84" t="s">
        <v>116</v>
      </c>
      <c r="K14" s="84" t="s">
        <v>89</v>
      </c>
      <c r="L14" s="85">
        <v>593</v>
      </c>
      <c r="M14" s="86">
        <v>3</v>
      </c>
      <c r="N14" s="90" t="s">
        <v>117</v>
      </c>
      <c r="O14" s="87"/>
      <c r="P14" s="88" t="s">
        <v>80</v>
      </c>
      <c r="R14" s="93" t="s">
        <v>120</v>
      </c>
      <c r="S14" s="93" t="s">
        <v>66</v>
      </c>
      <c r="T14" s="94">
        <v>587</v>
      </c>
      <c r="U14" s="95">
        <v>3</v>
      </c>
      <c r="V14" s="94" t="s">
        <v>119</v>
      </c>
      <c r="W14" s="97"/>
      <c r="X14" s="105" t="s">
        <v>80</v>
      </c>
      <c r="Z14" s="84" t="s">
        <v>103</v>
      </c>
      <c r="AA14" s="84" t="s">
        <v>104</v>
      </c>
      <c r="AB14" s="85">
        <v>208</v>
      </c>
      <c r="AC14" s="86">
        <v>2</v>
      </c>
      <c r="AD14" s="90" t="s">
        <v>58</v>
      </c>
      <c r="AE14" s="87"/>
      <c r="AF14" s="88"/>
    </row>
    <row r="15" spans="2:32" x14ac:dyDescent="0.3">
      <c r="B15" s="83" t="s">
        <v>96</v>
      </c>
      <c r="C15" s="84" t="s">
        <v>97</v>
      </c>
      <c r="D15" s="90">
        <v>207</v>
      </c>
      <c r="E15" s="86">
        <v>1.3</v>
      </c>
      <c r="F15" s="90" t="s">
        <v>98</v>
      </c>
      <c r="G15" s="87"/>
      <c r="H15" s="89"/>
      <c r="J15" s="106" t="s">
        <v>78</v>
      </c>
      <c r="K15" s="106" t="s">
        <v>79</v>
      </c>
      <c r="L15" s="107" t="s">
        <v>90</v>
      </c>
      <c r="M15" s="108">
        <v>1.2</v>
      </c>
      <c r="N15" s="109"/>
      <c r="O15" s="110"/>
      <c r="P15" s="111"/>
      <c r="R15" s="93" t="s">
        <v>116</v>
      </c>
      <c r="S15" s="93" t="s">
        <v>89</v>
      </c>
      <c r="T15" s="94">
        <v>593</v>
      </c>
      <c r="U15" s="95">
        <v>3</v>
      </c>
      <c r="V15" s="96" t="s">
        <v>117</v>
      </c>
      <c r="W15" s="97"/>
      <c r="X15" s="98" t="s">
        <v>80</v>
      </c>
      <c r="Z15" s="83" t="s">
        <v>96</v>
      </c>
      <c r="AA15" s="84" t="s">
        <v>97</v>
      </c>
      <c r="AB15" s="90">
        <v>207</v>
      </c>
      <c r="AC15" s="86">
        <v>1.3</v>
      </c>
      <c r="AD15" s="90" t="s">
        <v>98</v>
      </c>
      <c r="AE15" s="87"/>
      <c r="AF15" s="89"/>
    </row>
    <row r="16" spans="2:32" x14ac:dyDescent="0.3">
      <c r="B16" s="84" t="s">
        <v>109</v>
      </c>
      <c r="C16" s="84" t="s">
        <v>110</v>
      </c>
      <c r="D16" s="85">
        <v>242</v>
      </c>
      <c r="E16" s="85">
        <v>1.45</v>
      </c>
      <c r="F16" s="90" t="s">
        <v>111</v>
      </c>
      <c r="G16" s="87"/>
      <c r="H16" s="89"/>
      <c r="J16" s="112" t="s">
        <v>88</v>
      </c>
      <c r="K16" s="106" t="s">
        <v>93</v>
      </c>
      <c r="L16" s="109" t="s">
        <v>90</v>
      </c>
      <c r="M16" s="113">
        <v>1.3</v>
      </c>
      <c r="N16" s="107"/>
      <c r="O16" s="110"/>
      <c r="P16" s="114"/>
      <c r="R16" s="112" t="s">
        <v>88</v>
      </c>
      <c r="S16" s="106" t="s">
        <v>93</v>
      </c>
      <c r="T16" s="109" t="s">
        <v>90</v>
      </c>
      <c r="U16" s="113">
        <v>1.3</v>
      </c>
      <c r="V16" s="107"/>
      <c r="W16" s="110"/>
      <c r="X16" s="114"/>
      <c r="Z16" s="84" t="s">
        <v>109</v>
      </c>
      <c r="AA16" s="84" t="s">
        <v>110</v>
      </c>
      <c r="AB16" s="85">
        <v>242</v>
      </c>
      <c r="AC16" s="85">
        <v>1.45</v>
      </c>
      <c r="AD16" s="90" t="s">
        <v>111</v>
      </c>
      <c r="AE16" s="87"/>
      <c r="AF16" s="89"/>
    </row>
    <row r="17" spans="2:32" x14ac:dyDescent="0.3">
      <c r="B17" s="83" t="s">
        <v>84</v>
      </c>
      <c r="C17" s="84" t="s">
        <v>85</v>
      </c>
      <c r="D17" s="85">
        <v>203</v>
      </c>
      <c r="E17" s="85">
        <v>1.45</v>
      </c>
      <c r="F17" s="85" t="s">
        <v>86</v>
      </c>
      <c r="G17" s="87"/>
      <c r="H17" s="89"/>
      <c r="J17" s="112" t="s">
        <v>106</v>
      </c>
      <c r="K17" s="106" t="s">
        <v>107</v>
      </c>
      <c r="L17" s="107" t="s">
        <v>90</v>
      </c>
      <c r="M17" s="108">
        <v>2</v>
      </c>
      <c r="N17" s="107"/>
      <c r="O17" s="110"/>
      <c r="P17" s="114"/>
      <c r="R17" s="112" t="s">
        <v>106</v>
      </c>
      <c r="S17" s="106" t="s">
        <v>107</v>
      </c>
      <c r="T17" s="107" t="s">
        <v>90</v>
      </c>
      <c r="U17" s="108">
        <v>2</v>
      </c>
      <c r="V17" s="107"/>
      <c r="W17" s="110"/>
      <c r="X17" s="114"/>
      <c r="Z17" s="83" t="s">
        <v>84</v>
      </c>
      <c r="AA17" s="84" t="s">
        <v>85</v>
      </c>
      <c r="AB17" s="85">
        <v>203</v>
      </c>
      <c r="AC17" s="85">
        <v>1.45</v>
      </c>
      <c r="AD17" s="85" t="s">
        <v>86</v>
      </c>
      <c r="AE17" s="87"/>
      <c r="AF17" s="89"/>
    </row>
    <row r="18" spans="2:32" x14ac:dyDescent="0.3">
      <c r="B18" s="84"/>
      <c r="C18" s="84"/>
      <c r="D18" s="85"/>
      <c r="E18" s="86"/>
      <c r="F18" s="85"/>
      <c r="G18" s="87"/>
      <c r="H18" s="89"/>
      <c r="J18" s="84"/>
      <c r="K18" s="84"/>
      <c r="L18" s="85"/>
      <c r="M18" s="86"/>
      <c r="N18" s="85"/>
      <c r="O18" s="87"/>
      <c r="P18" s="89"/>
      <c r="R18" s="106" t="s">
        <v>118</v>
      </c>
      <c r="S18" s="106" t="s">
        <v>66</v>
      </c>
      <c r="T18" s="107" t="s">
        <v>90</v>
      </c>
      <c r="U18" s="108">
        <v>3</v>
      </c>
      <c r="V18" s="109"/>
      <c r="W18" s="110"/>
      <c r="X18" s="111"/>
      <c r="Z18" s="84"/>
      <c r="AA18" s="84"/>
      <c r="AB18" s="85"/>
      <c r="AC18" s="86"/>
      <c r="AD18" s="85"/>
      <c r="AE18" s="87"/>
      <c r="AF18" s="89"/>
    </row>
    <row r="19" spans="2:32" x14ac:dyDescent="0.3">
      <c r="B19" s="84"/>
      <c r="C19" s="84"/>
      <c r="D19" s="85"/>
      <c r="E19" s="86"/>
      <c r="F19" s="85"/>
      <c r="G19" s="87"/>
      <c r="H19" s="89"/>
      <c r="J19" s="84"/>
      <c r="K19" s="84"/>
      <c r="L19" s="85"/>
      <c r="M19" s="86"/>
      <c r="N19" s="85"/>
      <c r="O19" s="87"/>
      <c r="P19" s="89"/>
      <c r="R19" s="84"/>
      <c r="S19" s="84"/>
      <c r="T19" s="85"/>
      <c r="U19" s="86"/>
      <c r="V19" s="85"/>
      <c r="W19" s="87"/>
      <c r="X19" s="89"/>
      <c r="Z19" s="84"/>
      <c r="AA19" s="84"/>
      <c r="AB19" s="85"/>
      <c r="AC19" s="86"/>
      <c r="AD19" s="85"/>
      <c r="AE19" s="87"/>
      <c r="AF19" s="89"/>
    </row>
    <row r="20" spans="2:32" x14ac:dyDescent="0.3">
      <c r="B20" s="83"/>
      <c r="C20" s="83"/>
      <c r="D20" s="85"/>
      <c r="E20" s="85"/>
      <c r="F20" s="90"/>
      <c r="G20" s="87"/>
      <c r="H20" s="89"/>
      <c r="J20" s="83"/>
      <c r="K20" s="83"/>
      <c r="L20" s="85"/>
      <c r="M20" s="85"/>
      <c r="N20" s="90"/>
      <c r="O20" s="87"/>
      <c r="P20" s="89"/>
      <c r="R20" s="83"/>
      <c r="S20" s="83"/>
      <c r="T20" s="85"/>
      <c r="U20" s="85"/>
      <c r="V20" s="90"/>
      <c r="W20" s="87"/>
      <c r="X20" s="89"/>
      <c r="Z20" s="83"/>
      <c r="AA20" s="83"/>
      <c r="AB20" s="85"/>
      <c r="AC20" s="85"/>
      <c r="AD20" s="90"/>
      <c r="AE20" s="87"/>
      <c r="AF20" s="89"/>
    </row>
    <row r="21" spans="2:32" x14ac:dyDescent="0.3">
      <c r="B21" s="83"/>
      <c r="C21" s="83"/>
      <c r="D21" s="85"/>
      <c r="E21" s="85"/>
      <c r="F21" s="85"/>
      <c r="G21" s="87"/>
      <c r="H21" s="89"/>
      <c r="J21" s="83"/>
      <c r="K21" s="83"/>
      <c r="L21" s="85"/>
      <c r="M21" s="85"/>
      <c r="N21" s="85"/>
      <c r="O21" s="87"/>
      <c r="P21" s="89"/>
      <c r="R21" s="83"/>
      <c r="S21" s="83"/>
      <c r="T21" s="85"/>
      <c r="U21" s="85"/>
      <c r="V21" s="85"/>
      <c r="W21" s="87"/>
      <c r="X21" s="89"/>
      <c r="Z21" s="83"/>
      <c r="AA21" s="83"/>
      <c r="AB21" s="85"/>
      <c r="AC21" s="85"/>
      <c r="AD21" s="85"/>
      <c r="AE21" s="87"/>
      <c r="AF21" s="89"/>
    </row>
    <row r="22" spans="2:32" x14ac:dyDescent="0.3">
      <c r="B22" s="83"/>
      <c r="C22" s="83"/>
      <c r="D22" s="85"/>
      <c r="E22" s="85"/>
      <c r="F22" s="85"/>
      <c r="G22" s="87"/>
      <c r="H22" s="89"/>
      <c r="J22" s="83"/>
      <c r="K22" s="83"/>
      <c r="L22" s="85"/>
      <c r="M22" s="85"/>
      <c r="N22" s="85"/>
      <c r="O22" s="87"/>
      <c r="P22" s="89"/>
      <c r="R22" s="83"/>
      <c r="S22" s="83"/>
      <c r="T22" s="85"/>
      <c r="U22" s="85"/>
      <c r="V22" s="85"/>
      <c r="W22" s="87"/>
      <c r="X22" s="89"/>
      <c r="Z22" s="83"/>
      <c r="AA22" s="83"/>
      <c r="AB22" s="85"/>
      <c r="AC22" s="85"/>
      <c r="AD22" s="85"/>
      <c r="AE22" s="87"/>
      <c r="AF22" s="89"/>
    </row>
    <row r="23" spans="2:32" ht="15" thickBot="1" x14ac:dyDescent="0.35">
      <c r="B23" s="115"/>
      <c r="C23" s="115"/>
      <c r="D23" s="116"/>
      <c r="E23" s="116"/>
      <c r="F23" s="116"/>
      <c r="G23" s="117"/>
      <c r="H23" s="118"/>
      <c r="J23" s="115"/>
      <c r="K23" s="115"/>
      <c r="L23" s="116"/>
      <c r="M23" s="116"/>
      <c r="N23" s="116"/>
      <c r="O23" s="117"/>
      <c r="P23" s="118"/>
      <c r="R23" s="115"/>
      <c r="S23" s="115"/>
      <c r="T23" s="116"/>
      <c r="U23" s="116"/>
      <c r="V23" s="116"/>
      <c r="W23" s="117"/>
      <c r="X23" s="118"/>
      <c r="Z23" s="115"/>
      <c r="AA23" s="115"/>
      <c r="AB23" s="116"/>
      <c r="AC23" s="116"/>
      <c r="AD23" s="116"/>
      <c r="AE23" s="117"/>
      <c r="AF23" s="118"/>
    </row>
    <row r="24" spans="2:32" ht="15.6" x14ac:dyDescent="0.3">
      <c r="B24" s="207" t="s">
        <v>121</v>
      </c>
      <c r="C24" s="208"/>
      <c r="D24" s="208"/>
      <c r="E24" s="208"/>
      <c r="F24" s="208"/>
      <c r="G24" s="209">
        <v>46308</v>
      </c>
      <c r="H24" s="210"/>
      <c r="I24" s="64"/>
      <c r="J24" s="207" t="s">
        <v>121</v>
      </c>
      <c r="K24" s="208"/>
      <c r="L24" s="208"/>
      <c r="M24" s="208"/>
      <c r="N24" s="208"/>
      <c r="O24" s="209">
        <v>46315</v>
      </c>
      <c r="P24" s="210"/>
      <c r="Q24" s="64"/>
      <c r="R24" s="207" t="s">
        <v>121</v>
      </c>
      <c r="S24" s="208"/>
      <c r="T24" s="208"/>
      <c r="U24" s="208"/>
      <c r="V24" s="208"/>
      <c r="W24" s="209">
        <v>46322</v>
      </c>
      <c r="X24" s="210"/>
      <c r="Y24" s="64"/>
      <c r="Z24" s="207" t="s">
        <v>121</v>
      </c>
      <c r="AA24" s="208"/>
      <c r="AB24" s="208"/>
      <c r="AC24" s="208"/>
      <c r="AD24" s="208"/>
      <c r="AE24" s="209">
        <v>46329</v>
      </c>
      <c r="AF24" s="210"/>
    </row>
    <row r="25" spans="2:32" ht="15" thickBot="1" x14ac:dyDescent="0.35">
      <c r="B25" s="65" t="s">
        <v>12</v>
      </c>
      <c r="C25" s="65" t="s">
        <v>73</v>
      </c>
      <c r="D25" s="66" t="s">
        <v>29</v>
      </c>
      <c r="E25" s="66" t="s">
        <v>74</v>
      </c>
      <c r="F25" s="67" t="s">
        <v>75</v>
      </c>
      <c r="G25" s="68" t="s">
        <v>122</v>
      </c>
      <c r="H25" s="69" t="s">
        <v>77</v>
      </c>
      <c r="J25" s="65" t="s">
        <v>12</v>
      </c>
      <c r="K25" s="65" t="s">
        <v>73</v>
      </c>
      <c r="L25" s="66" t="s">
        <v>29</v>
      </c>
      <c r="M25" s="66" t="s">
        <v>74</v>
      </c>
      <c r="N25" s="67" t="s">
        <v>75</v>
      </c>
      <c r="O25" s="68" t="s">
        <v>122</v>
      </c>
      <c r="P25" s="69" t="s">
        <v>77</v>
      </c>
      <c r="R25" s="65" t="s">
        <v>12</v>
      </c>
      <c r="S25" s="65" t="s">
        <v>73</v>
      </c>
      <c r="T25" s="66" t="s">
        <v>29</v>
      </c>
      <c r="U25" s="66" t="s">
        <v>74</v>
      </c>
      <c r="V25" s="67" t="s">
        <v>75</v>
      </c>
      <c r="W25" s="68" t="s">
        <v>122</v>
      </c>
      <c r="X25" s="69" t="s">
        <v>77</v>
      </c>
      <c r="Z25" s="65" t="s">
        <v>12</v>
      </c>
      <c r="AA25" s="65" t="s">
        <v>73</v>
      </c>
      <c r="AB25" s="66" t="s">
        <v>29</v>
      </c>
      <c r="AC25" s="66" t="s">
        <v>74</v>
      </c>
      <c r="AD25" s="67" t="s">
        <v>75</v>
      </c>
      <c r="AE25" s="68" t="s">
        <v>122</v>
      </c>
      <c r="AF25" s="69" t="s">
        <v>77</v>
      </c>
    </row>
    <row r="26" spans="2:32" x14ac:dyDescent="0.3">
      <c r="B26" s="70" t="s">
        <v>78</v>
      </c>
      <c r="C26" s="70" t="s">
        <v>79</v>
      </c>
      <c r="D26" s="71">
        <v>252</v>
      </c>
      <c r="E26" s="72">
        <v>1.2</v>
      </c>
      <c r="F26" s="73" t="s">
        <v>40</v>
      </c>
      <c r="G26" s="74"/>
      <c r="H26" s="75" t="s">
        <v>80</v>
      </c>
      <c r="J26" s="76" t="s">
        <v>88</v>
      </c>
      <c r="K26" s="70" t="s">
        <v>93</v>
      </c>
      <c r="L26" s="73">
        <v>105</v>
      </c>
      <c r="M26" s="119">
        <v>1.3</v>
      </c>
      <c r="N26" s="71" t="s">
        <v>55</v>
      </c>
      <c r="O26" s="74"/>
      <c r="P26" s="120"/>
      <c r="R26" s="76" t="s">
        <v>88</v>
      </c>
      <c r="S26" s="70" t="s">
        <v>93</v>
      </c>
      <c r="T26" s="73">
        <v>105</v>
      </c>
      <c r="U26" s="119">
        <v>1.3</v>
      </c>
      <c r="V26" s="71" t="s">
        <v>55</v>
      </c>
      <c r="W26" s="74"/>
      <c r="X26" s="120"/>
      <c r="Z26" s="70" t="s">
        <v>78</v>
      </c>
      <c r="AA26" s="70" t="s">
        <v>79</v>
      </c>
      <c r="AB26" s="71">
        <v>251</v>
      </c>
      <c r="AC26" s="72">
        <v>1.2</v>
      </c>
      <c r="AD26" s="73" t="s">
        <v>40</v>
      </c>
      <c r="AE26" s="74"/>
      <c r="AF26" s="75" t="s">
        <v>80</v>
      </c>
    </row>
    <row r="27" spans="2:32" x14ac:dyDescent="0.3">
      <c r="B27" s="83" t="s">
        <v>81</v>
      </c>
      <c r="C27" s="84" t="s">
        <v>82</v>
      </c>
      <c r="D27" s="85">
        <v>202</v>
      </c>
      <c r="E27" s="86">
        <v>1.2</v>
      </c>
      <c r="F27" s="85" t="s">
        <v>40</v>
      </c>
      <c r="G27" s="87"/>
      <c r="H27" s="88" t="s">
        <v>80</v>
      </c>
      <c r="J27" s="84" t="s">
        <v>103</v>
      </c>
      <c r="K27" s="84" t="s">
        <v>104</v>
      </c>
      <c r="L27" s="85">
        <v>108</v>
      </c>
      <c r="M27" s="86">
        <v>2</v>
      </c>
      <c r="N27" s="90" t="s">
        <v>123</v>
      </c>
      <c r="O27" s="87"/>
      <c r="P27" s="88"/>
      <c r="R27" s="84" t="s">
        <v>103</v>
      </c>
      <c r="S27" s="84" t="s">
        <v>104</v>
      </c>
      <c r="T27" s="85">
        <v>108</v>
      </c>
      <c r="U27" s="86">
        <v>2</v>
      </c>
      <c r="V27" s="90" t="s">
        <v>123</v>
      </c>
      <c r="W27" s="87"/>
      <c r="X27" s="88"/>
      <c r="Z27" s="83" t="s">
        <v>81</v>
      </c>
      <c r="AA27" s="84" t="s">
        <v>82</v>
      </c>
      <c r="AB27" s="85" t="s">
        <v>87</v>
      </c>
      <c r="AC27" s="86">
        <v>1.2</v>
      </c>
      <c r="AD27" s="85" t="s">
        <v>40</v>
      </c>
      <c r="AE27" s="87"/>
      <c r="AF27" s="88" t="s">
        <v>80</v>
      </c>
    </row>
    <row r="28" spans="2:32" x14ac:dyDescent="0.3">
      <c r="B28" s="83" t="s">
        <v>88</v>
      </c>
      <c r="C28" s="84" t="s">
        <v>89</v>
      </c>
      <c r="D28" s="90">
        <v>105</v>
      </c>
      <c r="E28" s="91">
        <v>1.3</v>
      </c>
      <c r="F28" s="85" t="s">
        <v>55</v>
      </c>
      <c r="G28" s="87"/>
      <c r="H28" s="89"/>
      <c r="J28" s="84" t="s">
        <v>109</v>
      </c>
      <c r="K28" s="84" t="s">
        <v>110</v>
      </c>
      <c r="L28" s="85">
        <v>143</v>
      </c>
      <c r="M28" s="85">
        <v>1.45</v>
      </c>
      <c r="N28" s="90" t="s">
        <v>111</v>
      </c>
      <c r="O28" s="87"/>
      <c r="P28" s="89"/>
      <c r="R28" s="84" t="s">
        <v>109</v>
      </c>
      <c r="S28" s="84" t="s">
        <v>110</v>
      </c>
      <c r="T28" s="85">
        <v>143</v>
      </c>
      <c r="U28" s="85">
        <v>1.45</v>
      </c>
      <c r="V28" s="90" t="s">
        <v>111</v>
      </c>
      <c r="W28" s="87"/>
      <c r="X28" s="89"/>
      <c r="Z28" s="83" t="s">
        <v>88</v>
      </c>
      <c r="AA28" s="84" t="s">
        <v>93</v>
      </c>
      <c r="AB28" s="90">
        <v>105</v>
      </c>
      <c r="AC28" s="91">
        <v>1.3</v>
      </c>
      <c r="AD28" s="85" t="s">
        <v>55</v>
      </c>
      <c r="AE28" s="87"/>
      <c r="AF28" s="89"/>
    </row>
    <row r="29" spans="2:32" x14ac:dyDescent="0.3">
      <c r="B29" s="83" t="s">
        <v>94</v>
      </c>
      <c r="C29" s="84" t="s">
        <v>95</v>
      </c>
      <c r="D29" s="85">
        <v>401</v>
      </c>
      <c r="E29" s="86">
        <v>3</v>
      </c>
      <c r="F29" s="85" t="s">
        <v>99</v>
      </c>
      <c r="G29" s="87"/>
      <c r="H29" s="89"/>
      <c r="J29" s="83" t="s">
        <v>84</v>
      </c>
      <c r="K29" s="84" t="s">
        <v>85</v>
      </c>
      <c r="L29" s="85">
        <v>203</v>
      </c>
      <c r="M29" s="85">
        <v>1.45</v>
      </c>
      <c r="N29" s="85" t="s">
        <v>86</v>
      </c>
      <c r="O29" s="87"/>
      <c r="P29" s="89"/>
      <c r="R29" s="83" t="s">
        <v>84</v>
      </c>
      <c r="S29" s="84" t="s">
        <v>85</v>
      </c>
      <c r="T29" s="85">
        <v>203</v>
      </c>
      <c r="U29" s="85">
        <v>1.45</v>
      </c>
      <c r="V29" s="85" t="s">
        <v>86</v>
      </c>
      <c r="W29" s="87"/>
      <c r="X29" s="89"/>
      <c r="Z29" s="83" t="s">
        <v>94</v>
      </c>
      <c r="AA29" s="84" t="s">
        <v>95</v>
      </c>
      <c r="AB29" s="85">
        <v>401</v>
      </c>
      <c r="AC29" s="86">
        <v>3</v>
      </c>
      <c r="AD29" s="85" t="s">
        <v>99</v>
      </c>
      <c r="AE29" s="87"/>
      <c r="AF29" s="89"/>
    </row>
    <row r="30" spans="2:32" x14ac:dyDescent="0.3">
      <c r="B30" s="83" t="s">
        <v>100</v>
      </c>
      <c r="C30" s="84" t="s">
        <v>101</v>
      </c>
      <c r="D30" s="85">
        <v>211</v>
      </c>
      <c r="E30" s="86">
        <v>2</v>
      </c>
      <c r="F30" s="90" t="s">
        <v>48</v>
      </c>
      <c r="G30" s="87">
        <v>112.5</v>
      </c>
      <c r="H30" s="88" t="s">
        <v>102</v>
      </c>
      <c r="J30" s="83" t="s">
        <v>91</v>
      </c>
      <c r="K30" s="84" t="s">
        <v>92</v>
      </c>
      <c r="L30" s="85">
        <v>205</v>
      </c>
      <c r="M30" s="86">
        <v>1.3</v>
      </c>
      <c r="N30" s="85" t="s">
        <v>46</v>
      </c>
      <c r="O30" s="87"/>
      <c r="P30" s="89"/>
      <c r="R30" s="83" t="s">
        <v>91</v>
      </c>
      <c r="S30" s="84" t="s">
        <v>92</v>
      </c>
      <c r="T30" s="85">
        <v>205</v>
      </c>
      <c r="U30" s="86">
        <v>1.3</v>
      </c>
      <c r="V30" s="85" t="s">
        <v>46</v>
      </c>
      <c r="W30" s="87"/>
      <c r="X30" s="89"/>
      <c r="Z30" s="83" t="s">
        <v>100</v>
      </c>
      <c r="AA30" s="84" t="s">
        <v>101</v>
      </c>
      <c r="AB30" s="85">
        <v>211</v>
      </c>
      <c r="AC30" s="86">
        <v>2</v>
      </c>
      <c r="AD30" s="90" t="s">
        <v>48</v>
      </c>
      <c r="AE30" s="87"/>
      <c r="AF30" s="88" t="s">
        <v>102</v>
      </c>
    </row>
    <row r="31" spans="2:32" x14ac:dyDescent="0.3">
      <c r="B31" s="83" t="s">
        <v>91</v>
      </c>
      <c r="C31" s="84" t="s">
        <v>92</v>
      </c>
      <c r="D31" s="85">
        <v>205</v>
      </c>
      <c r="E31" s="86">
        <v>1.3</v>
      </c>
      <c r="F31" s="85" t="s">
        <v>46</v>
      </c>
      <c r="G31" s="87"/>
      <c r="H31" s="89"/>
      <c r="J31" s="83" t="s">
        <v>96</v>
      </c>
      <c r="K31" s="84" t="s">
        <v>97</v>
      </c>
      <c r="L31" s="90">
        <v>207</v>
      </c>
      <c r="M31" s="86">
        <v>1.3</v>
      </c>
      <c r="N31" s="90" t="s">
        <v>98</v>
      </c>
      <c r="O31" s="87"/>
      <c r="P31" s="89"/>
      <c r="R31" s="83" t="s">
        <v>96</v>
      </c>
      <c r="S31" s="84" t="s">
        <v>97</v>
      </c>
      <c r="T31" s="90">
        <v>207</v>
      </c>
      <c r="U31" s="86">
        <v>1.3</v>
      </c>
      <c r="V31" s="90" t="s">
        <v>98</v>
      </c>
      <c r="W31" s="87"/>
      <c r="X31" s="89"/>
      <c r="Z31" s="83" t="s">
        <v>91</v>
      </c>
      <c r="AA31" s="84" t="s">
        <v>92</v>
      </c>
      <c r="AB31" s="85">
        <v>205</v>
      </c>
      <c r="AC31" s="86">
        <v>1.3</v>
      </c>
      <c r="AD31" s="85" t="s">
        <v>46</v>
      </c>
      <c r="AE31" s="87"/>
      <c r="AF31" s="89"/>
    </row>
    <row r="32" spans="2:32" x14ac:dyDescent="0.3">
      <c r="B32" s="83" t="s">
        <v>106</v>
      </c>
      <c r="C32" s="84" t="s">
        <v>107</v>
      </c>
      <c r="D32" s="85">
        <v>208</v>
      </c>
      <c r="E32" s="86">
        <v>2</v>
      </c>
      <c r="F32" s="85" t="s">
        <v>58</v>
      </c>
      <c r="G32" s="87"/>
      <c r="H32" s="89"/>
      <c r="J32" s="83" t="s">
        <v>106</v>
      </c>
      <c r="K32" s="84" t="s">
        <v>107</v>
      </c>
      <c r="L32" s="85">
        <v>208</v>
      </c>
      <c r="M32" s="86">
        <v>2</v>
      </c>
      <c r="N32" s="85" t="s">
        <v>58</v>
      </c>
      <c r="O32" s="87"/>
      <c r="P32" s="89"/>
      <c r="R32" s="83" t="s">
        <v>106</v>
      </c>
      <c r="S32" s="84" t="s">
        <v>107</v>
      </c>
      <c r="T32" s="85">
        <v>208</v>
      </c>
      <c r="U32" s="86">
        <v>2</v>
      </c>
      <c r="V32" s="85" t="s">
        <v>58</v>
      </c>
      <c r="W32" s="87"/>
      <c r="X32" s="89"/>
      <c r="Z32" s="83" t="s">
        <v>106</v>
      </c>
      <c r="AA32" s="84" t="s">
        <v>107</v>
      </c>
      <c r="AB32" s="85">
        <v>208</v>
      </c>
      <c r="AC32" s="86">
        <v>2</v>
      </c>
      <c r="AD32" s="85" t="s">
        <v>58</v>
      </c>
      <c r="AE32" s="87"/>
      <c r="AF32" s="89"/>
    </row>
    <row r="33" spans="2:32" x14ac:dyDescent="0.3">
      <c r="B33" s="84" t="s">
        <v>112</v>
      </c>
      <c r="C33" s="84" t="s">
        <v>113</v>
      </c>
      <c r="D33" s="85">
        <v>243</v>
      </c>
      <c r="E33" s="86">
        <v>1.1000000000000001</v>
      </c>
      <c r="F33" s="90" t="s">
        <v>114</v>
      </c>
      <c r="G33" s="87">
        <v>270</v>
      </c>
      <c r="H33" s="89"/>
      <c r="J33" s="83" t="s">
        <v>100</v>
      </c>
      <c r="K33" s="84" t="s">
        <v>101</v>
      </c>
      <c r="L33" s="85">
        <v>211</v>
      </c>
      <c r="M33" s="86">
        <v>2</v>
      </c>
      <c r="N33" s="90" t="s">
        <v>48</v>
      </c>
      <c r="O33" s="87"/>
      <c r="P33" s="88" t="s">
        <v>124</v>
      </c>
      <c r="R33" s="92" t="s">
        <v>100</v>
      </c>
      <c r="S33" s="93" t="s">
        <v>101</v>
      </c>
      <c r="T33" s="94">
        <v>211</v>
      </c>
      <c r="U33" s="95">
        <v>2</v>
      </c>
      <c r="V33" s="96" t="s">
        <v>48</v>
      </c>
      <c r="W33" s="97"/>
      <c r="X33" s="98" t="s">
        <v>125</v>
      </c>
      <c r="Z33" s="84" t="s">
        <v>112</v>
      </c>
      <c r="AA33" s="84" t="s">
        <v>113</v>
      </c>
      <c r="AB33" s="85">
        <v>243</v>
      </c>
      <c r="AC33" s="86">
        <v>1.1000000000000001</v>
      </c>
      <c r="AD33" s="90" t="s">
        <v>114</v>
      </c>
      <c r="AE33" s="87"/>
      <c r="AF33" s="89"/>
    </row>
    <row r="34" spans="2:32" x14ac:dyDescent="0.3">
      <c r="B34" s="84" t="s">
        <v>116</v>
      </c>
      <c r="C34" s="84" t="s">
        <v>66</v>
      </c>
      <c r="D34" s="85">
        <v>305</v>
      </c>
      <c r="E34" s="86">
        <v>3</v>
      </c>
      <c r="F34" s="90" t="s">
        <v>117</v>
      </c>
      <c r="G34" s="87"/>
      <c r="H34" s="88" t="s">
        <v>80</v>
      </c>
      <c r="J34" s="84" t="s">
        <v>112</v>
      </c>
      <c r="K34" s="84" t="s">
        <v>113</v>
      </c>
      <c r="L34" s="85">
        <v>243</v>
      </c>
      <c r="M34" s="86">
        <v>1.1000000000000001</v>
      </c>
      <c r="N34" s="90" t="s">
        <v>114</v>
      </c>
      <c r="O34" s="87"/>
      <c r="P34" s="89"/>
      <c r="R34" s="84" t="s">
        <v>78</v>
      </c>
      <c r="S34" s="84" t="s">
        <v>79</v>
      </c>
      <c r="T34" s="85">
        <v>243</v>
      </c>
      <c r="U34" s="86">
        <v>1.2</v>
      </c>
      <c r="V34" s="90"/>
      <c r="W34" s="87"/>
      <c r="X34" s="88"/>
      <c r="Z34" s="84" t="s">
        <v>116</v>
      </c>
      <c r="AA34" s="84" t="s">
        <v>89</v>
      </c>
      <c r="AB34" s="85">
        <v>593</v>
      </c>
      <c r="AC34" s="86">
        <v>3</v>
      </c>
      <c r="AD34" s="90" t="s">
        <v>117</v>
      </c>
      <c r="AE34" s="87"/>
      <c r="AF34" s="88" t="s">
        <v>80</v>
      </c>
    </row>
    <row r="35" spans="2:32" x14ac:dyDescent="0.3">
      <c r="B35" s="84" t="s">
        <v>118</v>
      </c>
      <c r="C35" s="84" t="s">
        <v>66</v>
      </c>
      <c r="D35" s="85">
        <v>587</v>
      </c>
      <c r="E35" s="86">
        <v>3</v>
      </c>
      <c r="F35" s="90" t="s">
        <v>119</v>
      </c>
      <c r="G35" s="87"/>
      <c r="H35" s="88" t="s">
        <v>80</v>
      </c>
      <c r="J35" s="84" t="s">
        <v>116</v>
      </c>
      <c r="K35" s="84" t="s">
        <v>89</v>
      </c>
      <c r="L35" s="85">
        <v>305</v>
      </c>
      <c r="M35" s="86">
        <v>3</v>
      </c>
      <c r="N35" s="90" t="s">
        <v>117</v>
      </c>
      <c r="O35" s="87"/>
      <c r="P35" s="88" t="s">
        <v>80</v>
      </c>
      <c r="R35" s="93" t="s">
        <v>120</v>
      </c>
      <c r="S35" s="93" t="s">
        <v>66</v>
      </c>
      <c r="T35" s="94">
        <v>251</v>
      </c>
      <c r="U35" s="95">
        <v>4</v>
      </c>
      <c r="V35" s="94" t="s">
        <v>40</v>
      </c>
      <c r="W35" s="97"/>
      <c r="X35" s="105" t="s">
        <v>126</v>
      </c>
      <c r="Z35" s="84" t="s">
        <v>118</v>
      </c>
      <c r="AA35" s="84" t="s">
        <v>66</v>
      </c>
      <c r="AB35" s="85">
        <v>587</v>
      </c>
      <c r="AC35" s="86">
        <v>3</v>
      </c>
      <c r="AD35" s="90" t="s">
        <v>119</v>
      </c>
      <c r="AE35" s="87"/>
      <c r="AF35" s="88" t="s">
        <v>80</v>
      </c>
    </row>
    <row r="36" spans="2:32" x14ac:dyDescent="0.3">
      <c r="B36" s="84" t="s">
        <v>103</v>
      </c>
      <c r="C36" s="84" t="s">
        <v>104</v>
      </c>
      <c r="D36" s="85">
        <v>108</v>
      </c>
      <c r="E36" s="86">
        <v>2</v>
      </c>
      <c r="F36" s="90" t="s">
        <v>123</v>
      </c>
      <c r="G36" s="87"/>
      <c r="H36" s="88"/>
      <c r="J36" s="83" t="s">
        <v>81</v>
      </c>
      <c r="K36" s="84" t="s">
        <v>82</v>
      </c>
      <c r="L36" s="85">
        <v>360</v>
      </c>
      <c r="M36" s="86">
        <v>1.2</v>
      </c>
      <c r="N36" s="85" t="s">
        <v>40</v>
      </c>
      <c r="O36" s="87"/>
      <c r="P36" s="88" t="s">
        <v>127</v>
      </c>
      <c r="R36" s="83" t="s">
        <v>94</v>
      </c>
      <c r="S36" s="84" t="s">
        <v>95</v>
      </c>
      <c r="T36" s="85">
        <v>401</v>
      </c>
      <c r="U36" s="86">
        <v>3</v>
      </c>
      <c r="V36" s="85" t="s">
        <v>99</v>
      </c>
      <c r="W36" s="87"/>
      <c r="X36" s="89"/>
      <c r="Z36" s="84" t="s">
        <v>103</v>
      </c>
      <c r="AA36" s="84" t="s">
        <v>104</v>
      </c>
      <c r="AB36" s="85">
        <v>108</v>
      </c>
      <c r="AC36" s="86">
        <v>2</v>
      </c>
      <c r="AD36" s="90" t="s">
        <v>123</v>
      </c>
      <c r="AE36" s="87"/>
      <c r="AF36" s="88"/>
    </row>
    <row r="37" spans="2:32" x14ac:dyDescent="0.3">
      <c r="B37" s="83" t="s">
        <v>96</v>
      </c>
      <c r="C37" s="84" t="s">
        <v>97</v>
      </c>
      <c r="D37" s="90">
        <v>207</v>
      </c>
      <c r="E37" s="86">
        <v>1.3</v>
      </c>
      <c r="F37" s="90" t="s">
        <v>98</v>
      </c>
      <c r="G37" s="87"/>
      <c r="H37" s="89"/>
      <c r="J37" s="83" t="s">
        <v>94</v>
      </c>
      <c r="K37" s="84" t="s">
        <v>95</v>
      </c>
      <c r="L37" s="85">
        <v>401</v>
      </c>
      <c r="M37" s="86">
        <v>2</v>
      </c>
      <c r="N37" s="85" t="s">
        <v>99</v>
      </c>
      <c r="O37" s="87"/>
      <c r="P37" s="89"/>
      <c r="R37" s="93" t="s">
        <v>118</v>
      </c>
      <c r="S37" s="93" t="s">
        <v>66</v>
      </c>
      <c r="T37" s="94">
        <v>587</v>
      </c>
      <c r="U37" s="95">
        <v>3</v>
      </c>
      <c r="V37" s="96" t="s">
        <v>119</v>
      </c>
      <c r="W37" s="97"/>
      <c r="X37" s="98" t="s">
        <v>126</v>
      </c>
      <c r="Z37" s="83" t="s">
        <v>96</v>
      </c>
      <c r="AA37" s="84" t="s">
        <v>97</v>
      </c>
      <c r="AB37" s="90">
        <v>207</v>
      </c>
      <c r="AC37" s="86">
        <v>1.3</v>
      </c>
      <c r="AD37" s="90" t="s">
        <v>98</v>
      </c>
      <c r="AE37" s="87"/>
      <c r="AF37" s="89"/>
    </row>
    <row r="38" spans="2:32" x14ac:dyDescent="0.3">
      <c r="B38" s="84" t="s">
        <v>109</v>
      </c>
      <c r="C38" s="84" t="s">
        <v>110</v>
      </c>
      <c r="D38" s="85">
        <v>143</v>
      </c>
      <c r="E38" s="85">
        <v>1.45</v>
      </c>
      <c r="F38" s="90" t="s">
        <v>111</v>
      </c>
      <c r="G38" s="87"/>
      <c r="H38" s="89"/>
      <c r="J38" s="84" t="s">
        <v>118</v>
      </c>
      <c r="K38" s="84" t="s">
        <v>66</v>
      </c>
      <c r="L38" s="85">
        <v>587</v>
      </c>
      <c r="M38" s="86">
        <v>3</v>
      </c>
      <c r="N38" s="90" t="s">
        <v>119</v>
      </c>
      <c r="O38" s="87"/>
      <c r="P38" s="88" t="s">
        <v>80</v>
      </c>
      <c r="R38" s="93" t="s">
        <v>116</v>
      </c>
      <c r="S38" s="93" t="s">
        <v>89</v>
      </c>
      <c r="T38" s="94">
        <v>593</v>
      </c>
      <c r="U38" s="95">
        <v>3</v>
      </c>
      <c r="V38" s="96" t="s">
        <v>117</v>
      </c>
      <c r="W38" s="97"/>
      <c r="X38" s="98" t="s">
        <v>126</v>
      </c>
      <c r="Z38" s="84" t="s">
        <v>109</v>
      </c>
      <c r="AA38" s="84" t="s">
        <v>110</v>
      </c>
      <c r="AB38" s="85">
        <v>143</v>
      </c>
      <c r="AC38" s="85">
        <v>1.45</v>
      </c>
      <c r="AD38" s="90" t="s">
        <v>111</v>
      </c>
      <c r="AE38" s="87"/>
      <c r="AF38" s="89"/>
    </row>
    <row r="39" spans="2:32" x14ac:dyDescent="0.3">
      <c r="B39" s="83" t="s">
        <v>84</v>
      </c>
      <c r="C39" s="84" t="s">
        <v>85</v>
      </c>
      <c r="D39" s="85">
        <v>203</v>
      </c>
      <c r="E39" s="85">
        <v>1.45</v>
      </c>
      <c r="F39" s="85" t="s">
        <v>86</v>
      </c>
      <c r="G39" s="87"/>
      <c r="H39" s="89"/>
      <c r="J39" s="106" t="s">
        <v>78</v>
      </c>
      <c r="K39" s="106" t="s">
        <v>79</v>
      </c>
      <c r="L39" s="107" t="s">
        <v>90</v>
      </c>
      <c r="M39" s="108">
        <v>1.2</v>
      </c>
      <c r="N39" s="109"/>
      <c r="O39" s="110"/>
      <c r="P39" s="111"/>
      <c r="R39" s="93" t="s">
        <v>128</v>
      </c>
      <c r="S39" s="93" t="s">
        <v>66</v>
      </c>
      <c r="T39" s="94">
        <v>962</v>
      </c>
      <c r="U39" s="95">
        <v>4</v>
      </c>
      <c r="V39" s="94" t="s">
        <v>129</v>
      </c>
      <c r="W39" s="97"/>
      <c r="X39" s="105" t="s">
        <v>126</v>
      </c>
      <c r="Z39" s="83" t="s">
        <v>84</v>
      </c>
      <c r="AA39" s="84" t="s">
        <v>85</v>
      </c>
      <c r="AB39" s="85">
        <v>203</v>
      </c>
      <c r="AC39" s="85">
        <v>1.45</v>
      </c>
      <c r="AD39" s="85" t="s">
        <v>86</v>
      </c>
      <c r="AE39" s="87"/>
      <c r="AF39" s="89"/>
    </row>
    <row r="40" spans="2:32" x14ac:dyDescent="0.3">
      <c r="B40" s="84"/>
      <c r="C40" s="84"/>
      <c r="D40" s="85"/>
      <c r="E40" s="86"/>
      <c r="F40" s="85"/>
      <c r="G40" s="87"/>
      <c r="H40" s="89"/>
      <c r="J40" s="84"/>
      <c r="K40" s="84"/>
      <c r="L40" s="85"/>
      <c r="M40" s="86"/>
      <c r="N40" s="85"/>
      <c r="O40" s="87"/>
      <c r="P40" s="89"/>
      <c r="R40" s="121" t="s">
        <v>81</v>
      </c>
      <c r="S40" s="122" t="s">
        <v>82</v>
      </c>
      <c r="T40" s="123" t="s">
        <v>90</v>
      </c>
      <c r="U40" s="124">
        <v>1.2</v>
      </c>
      <c r="V40" s="125"/>
      <c r="W40" s="126"/>
      <c r="X40" s="127"/>
      <c r="Z40" s="84"/>
      <c r="AA40" s="84"/>
      <c r="AB40" s="85"/>
      <c r="AC40" s="86"/>
      <c r="AD40" s="85"/>
      <c r="AE40" s="87"/>
      <c r="AF40" s="89"/>
    </row>
    <row r="41" spans="2:32" x14ac:dyDescent="0.3">
      <c r="B41" s="84"/>
      <c r="C41" s="84"/>
      <c r="D41" s="85"/>
      <c r="E41" s="86"/>
      <c r="F41" s="85"/>
      <c r="G41" s="87"/>
      <c r="H41" s="89"/>
      <c r="J41" s="84"/>
      <c r="K41" s="84"/>
      <c r="L41" s="85"/>
      <c r="M41" s="86"/>
      <c r="N41" s="85"/>
      <c r="O41" s="87"/>
      <c r="P41" s="89"/>
      <c r="R41" s="122" t="s">
        <v>112</v>
      </c>
      <c r="S41" s="122" t="s">
        <v>113</v>
      </c>
      <c r="T41" s="125" t="s">
        <v>90</v>
      </c>
      <c r="U41" s="124">
        <v>1.1000000000000001</v>
      </c>
      <c r="V41" s="123"/>
      <c r="W41" s="126"/>
      <c r="X41" s="128"/>
      <c r="Z41" s="84"/>
      <c r="AA41" s="84"/>
      <c r="AB41" s="85"/>
      <c r="AC41" s="86"/>
      <c r="AD41" s="85"/>
      <c r="AE41" s="87"/>
      <c r="AF41" s="89"/>
    </row>
    <row r="42" spans="2:32" x14ac:dyDescent="0.3">
      <c r="B42" s="83"/>
      <c r="C42" s="83"/>
      <c r="D42" s="85"/>
      <c r="E42" s="85"/>
      <c r="F42" s="90"/>
      <c r="G42" s="87"/>
      <c r="H42" s="89"/>
      <c r="J42" s="83"/>
      <c r="K42" s="83"/>
      <c r="L42" s="85"/>
      <c r="M42" s="85"/>
      <c r="N42" s="90"/>
      <c r="O42" s="87"/>
      <c r="P42" s="89"/>
      <c r="R42" s="83"/>
      <c r="S42" s="83"/>
      <c r="T42" s="85"/>
      <c r="U42" s="85"/>
      <c r="V42" s="90"/>
      <c r="W42" s="87"/>
      <c r="X42" s="89"/>
      <c r="Z42" s="83"/>
      <c r="AA42" s="83"/>
      <c r="AB42" s="85"/>
      <c r="AC42" s="85"/>
      <c r="AD42" s="90"/>
      <c r="AE42" s="87"/>
      <c r="AF42" s="89"/>
    </row>
    <row r="43" spans="2:32" x14ac:dyDescent="0.3">
      <c r="B43" s="83"/>
      <c r="C43" s="83"/>
      <c r="D43" s="85"/>
      <c r="E43" s="85"/>
      <c r="F43" s="85"/>
      <c r="G43" s="87"/>
      <c r="H43" s="89"/>
      <c r="J43" s="83"/>
      <c r="K43" s="83"/>
      <c r="L43" s="85"/>
      <c r="M43" s="85"/>
      <c r="N43" s="85"/>
      <c r="O43" s="87"/>
      <c r="P43" s="89"/>
      <c r="R43" s="83"/>
      <c r="S43" s="83"/>
      <c r="T43" s="85"/>
      <c r="U43" s="85"/>
      <c r="V43" s="85"/>
      <c r="W43" s="87"/>
      <c r="X43" s="89"/>
      <c r="Z43" s="83"/>
      <c r="AA43" s="83"/>
      <c r="AB43" s="85"/>
      <c r="AC43" s="85"/>
      <c r="AD43" s="85"/>
      <c r="AE43" s="87"/>
      <c r="AF43" s="89"/>
    </row>
    <row r="44" spans="2:32" x14ac:dyDescent="0.3">
      <c r="B44" s="83"/>
      <c r="C44" s="83"/>
      <c r="D44" s="85"/>
      <c r="E44" s="85"/>
      <c r="F44" s="85"/>
      <c r="G44" s="87"/>
      <c r="H44" s="89"/>
      <c r="J44" s="83"/>
      <c r="K44" s="83"/>
      <c r="L44" s="85"/>
      <c r="M44" s="85"/>
      <c r="N44" s="85"/>
      <c r="O44" s="87"/>
      <c r="P44" s="89"/>
      <c r="R44" s="83"/>
      <c r="S44" s="83"/>
      <c r="T44" s="85"/>
      <c r="U44" s="85"/>
      <c r="V44" s="85"/>
      <c r="W44" s="87"/>
      <c r="X44" s="89"/>
      <c r="Z44" s="83"/>
      <c r="AA44" s="83"/>
      <c r="AB44" s="85"/>
      <c r="AC44" s="85"/>
      <c r="AD44" s="85"/>
      <c r="AE44" s="87"/>
      <c r="AF44" s="89"/>
    </row>
    <row r="45" spans="2:32" ht="15" thickBot="1" x14ac:dyDescent="0.35">
      <c r="B45" s="115"/>
      <c r="C45" s="115"/>
      <c r="D45" s="116"/>
      <c r="E45" s="116"/>
      <c r="F45" s="116"/>
      <c r="G45" s="117"/>
      <c r="H45" s="118"/>
      <c r="J45" s="115"/>
      <c r="K45" s="115"/>
      <c r="L45" s="116"/>
      <c r="M45" s="116"/>
      <c r="N45" s="116"/>
      <c r="O45" s="117"/>
      <c r="P45" s="118"/>
      <c r="R45" s="115"/>
      <c r="S45" s="115"/>
      <c r="T45" s="116"/>
      <c r="U45" s="116"/>
      <c r="V45" s="116"/>
      <c r="W45" s="117"/>
      <c r="X45" s="118"/>
      <c r="Z45" s="115"/>
      <c r="AA45" s="115"/>
      <c r="AB45" s="116"/>
      <c r="AC45" s="116"/>
      <c r="AD45" s="116"/>
      <c r="AE45" s="117"/>
      <c r="AF45" s="118"/>
    </row>
    <row r="46" spans="2:32" ht="15.6" x14ac:dyDescent="0.3">
      <c r="B46" s="207" t="s">
        <v>130</v>
      </c>
      <c r="C46" s="208"/>
      <c r="D46" s="208"/>
      <c r="E46" s="208"/>
      <c r="F46" s="208"/>
      <c r="G46" s="209">
        <v>46309</v>
      </c>
      <c r="H46" s="210"/>
      <c r="I46" s="64"/>
      <c r="J46" s="207" t="s">
        <v>130</v>
      </c>
      <c r="K46" s="208"/>
      <c r="L46" s="208"/>
      <c r="M46" s="208"/>
      <c r="N46" s="208"/>
      <c r="O46" s="209">
        <v>46316</v>
      </c>
      <c r="P46" s="210"/>
      <c r="Q46" s="64"/>
      <c r="R46" s="207" t="s">
        <v>130</v>
      </c>
      <c r="S46" s="208"/>
      <c r="T46" s="208"/>
      <c r="U46" s="208"/>
      <c r="V46" s="208"/>
      <c r="W46" s="209">
        <v>46323</v>
      </c>
      <c r="X46" s="210"/>
      <c r="Y46" s="64"/>
      <c r="Z46" s="207" t="s">
        <v>130</v>
      </c>
      <c r="AA46" s="208"/>
      <c r="AB46" s="208"/>
      <c r="AC46" s="208"/>
      <c r="AD46" s="208"/>
      <c r="AE46" s="209">
        <v>46330</v>
      </c>
      <c r="AF46" s="210"/>
    </row>
    <row r="47" spans="2:32" ht="15" thickBot="1" x14ac:dyDescent="0.35">
      <c r="B47" s="65" t="s">
        <v>12</v>
      </c>
      <c r="C47" s="65" t="s">
        <v>73</v>
      </c>
      <c r="D47" s="66" t="s">
        <v>29</v>
      </c>
      <c r="E47" s="66" t="s">
        <v>74</v>
      </c>
      <c r="F47" s="67" t="s">
        <v>75</v>
      </c>
      <c r="G47" s="68" t="s">
        <v>122</v>
      </c>
      <c r="H47" s="69" t="s">
        <v>77</v>
      </c>
      <c r="J47" s="65" t="s">
        <v>12</v>
      </c>
      <c r="K47" s="65" t="s">
        <v>73</v>
      </c>
      <c r="L47" s="66" t="s">
        <v>29</v>
      </c>
      <c r="M47" s="66" t="s">
        <v>74</v>
      </c>
      <c r="N47" s="67" t="s">
        <v>75</v>
      </c>
      <c r="O47" s="68" t="s">
        <v>122</v>
      </c>
      <c r="P47" s="69" t="s">
        <v>77</v>
      </c>
      <c r="R47" s="65" t="s">
        <v>12</v>
      </c>
      <c r="S47" s="65" t="s">
        <v>73</v>
      </c>
      <c r="T47" s="66" t="s">
        <v>29</v>
      </c>
      <c r="U47" s="66" t="s">
        <v>74</v>
      </c>
      <c r="V47" s="67" t="s">
        <v>75</v>
      </c>
      <c r="W47" s="68" t="s">
        <v>122</v>
      </c>
      <c r="X47" s="69" t="s">
        <v>77</v>
      </c>
      <c r="Z47" s="65" t="s">
        <v>12</v>
      </c>
      <c r="AA47" s="65" t="s">
        <v>73</v>
      </c>
      <c r="AB47" s="66" t="s">
        <v>29</v>
      </c>
      <c r="AC47" s="66" t="s">
        <v>74</v>
      </c>
      <c r="AD47" s="67" t="s">
        <v>75</v>
      </c>
      <c r="AE47" s="68" t="s">
        <v>122</v>
      </c>
      <c r="AF47" s="69" t="s">
        <v>77</v>
      </c>
    </row>
    <row r="48" spans="2:32" x14ac:dyDescent="0.3">
      <c r="B48" s="70" t="s">
        <v>78</v>
      </c>
      <c r="C48" s="70" t="s">
        <v>79</v>
      </c>
      <c r="D48" s="71">
        <v>252</v>
      </c>
      <c r="E48" s="72">
        <v>1.2</v>
      </c>
      <c r="F48" s="73" t="s">
        <v>40</v>
      </c>
      <c r="G48" s="74"/>
      <c r="H48" s="75" t="s">
        <v>80</v>
      </c>
      <c r="J48" s="76" t="s">
        <v>88</v>
      </c>
      <c r="K48" s="70" t="s">
        <v>93</v>
      </c>
      <c r="L48" s="73">
        <v>105</v>
      </c>
      <c r="M48" s="119">
        <v>1.3</v>
      </c>
      <c r="N48" s="71" t="s">
        <v>55</v>
      </c>
      <c r="O48" s="74"/>
      <c r="P48" s="120"/>
      <c r="R48" s="70" t="s">
        <v>78</v>
      </c>
      <c r="S48" s="70" t="s">
        <v>79</v>
      </c>
      <c r="T48" s="71">
        <v>251</v>
      </c>
      <c r="U48" s="72">
        <v>1.2</v>
      </c>
      <c r="V48" s="73" t="s">
        <v>40</v>
      </c>
      <c r="W48" s="74"/>
      <c r="X48" s="75" t="s">
        <v>80</v>
      </c>
      <c r="Z48" s="70" t="s">
        <v>78</v>
      </c>
      <c r="AA48" s="70" t="s">
        <v>79</v>
      </c>
      <c r="AB48" s="71">
        <v>251</v>
      </c>
      <c r="AC48" s="72">
        <v>1.2</v>
      </c>
      <c r="AD48" s="73" t="s">
        <v>40</v>
      </c>
      <c r="AE48" s="74"/>
      <c r="AF48" s="75" t="s">
        <v>80</v>
      </c>
    </row>
    <row r="49" spans="2:32" x14ac:dyDescent="0.3">
      <c r="B49" s="83" t="s">
        <v>81</v>
      </c>
      <c r="C49" s="84" t="s">
        <v>82</v>
      </c>
      <c r="D49" s="85">
        <v>202</v>
      </c>
      <c r="E49" s="86">
        <v>1.2</v>
      </c>
      <c r="F49" s="85" t="s">
        <v>40</v>
      </c>
      <c r="G49" s="87"/>
      <c r="H49" s="88" t="s">
        <v>80</v>
      </c>
      <c r="J49" s="84" t="s">
        <v>103</v>
      </c>
      <c r="K49" s="84" t="s">
        <v>104</v>
      </c>
      <c r="L49" s="85">
        <v>108</v>
      </c>
      <c r="M49" s="86">
        <v>2</v>
      </c>
      <c r="N49" s="90" t="s">
        <v>123</v>
      </c>
      <c r="O49" s="87"/>
      <c r="P49" s="88"/>
      <c r="R49" s="83" t="s">
        <v>81</v>
      </c>
      <c r="S49" s="84" t="s">
        <v>82</v>
      </c>
      <c r="T49" s="85" t="s">
        <v>87</v>
      </c>
      <c r="U49" s="86">
        <v>1.2</v>
      </c>
      <c r="V49" s="85" t="s">
        <v>40</v>
      </c>
      <c r="W49" s="87"/>
      <c r="X49" s="88" t="s">
        <v>80</v>
      </c>
      <c r="Z49" s="83" t="s">
        <v>81</v>
      </c>
      <c r="AA49" s="84" t="s">
        <v>82</v>
      </c>
      <c r="AB49" s="85" t="s">
        <v>87</v>
      </c>
      <c r="AC49" s="86">
        <v>1.2</v>
      </c>
      <c r="AD49" s="85" t="s">
        <v>40</v>
      </c>
      <c r="AE49" s="87"/>
      <c r="AF49" s="88" t="s">
        <v>80</v>
      </c>
    </row>
    <row r="50" spans="2:32" x14ac:dyDescent="0.3">
      <c r="B50" s="83" t="s">
        <v>88</v>
      </c>
      <c r="C50" s="84" t="s">
        <v>89</v>
      </c>
      <c r="D50" s="90">
        <v>105</v>
      </c>
      <c r="E50" s="91">
        <v>1.3</v>
      </c>
      <c r="F50" s="85" t="s">
        <v>55</v>
      </c>
      <c r="G50" s="87"/>
      <c r="H50" s="89"/>
      <c r="J50" s="84" t="s">
        <v>109</v>
      </c>
      <c r="K50" s="84" t="s">
        <v>110</v>
      </c>
      <c r="L50" s="85">
        <v>143</v>
      </c>
      <c r="M50" s="85">
        <v>1.45</v>
      </c>
      <c r="N50" s="90" t="s">
        <v>111</v>
      </c>
      <c r="O50" s="87"/>
      <c r="P50" s="89"/>
      <c r="R50" s="83" t="s">
        <v>88</v>
      </c>
      <c r="S50" s="84" t="s">
        <v>93</v>
      </c>
      <c r="T50" s="90">
        <v>105</v>
      </c>
      <c r="U50" s="91">
        <v>1.3</v>
      </c>
      <c r="V50" s="85" t="s">
        <v>55</v>
      </c>
      <c r="W50" s="87"/>
      <c r="X50" s="89"/>
      <c r="Z50" s="83" t="s">
        <v>88</v>
      </c>
      <c r="AA50" s="84" t="s">
        <v>93</v>
      </c>
      <c r="AB50" s="90">
        <v>105</v>
      </c>
      <c r="AC50" s="91">
        <v>1.3</v>
      </c>
      <c r="AD50" s="85" t="s">
        <v>55</v>
      </c>
      <c r="AE50" s="87"/>
      <c r="AF50" s="89"/>
    </row>
    <row r="51" spans="2:32" x14ac:dyDescent="0.3">
      <c r="B51" s="83" t="s">
        <v>94</v>
      </c>
      <c r="C51" s="84" t="s">
        <v>95</v>
      </c>
      <c r="D51" s="85">
        <v>401</v>
      </c>
      <c r="E51" s="86">
        <v>3</v>
      </c>
      <c r="F51" s="85" t="s">
        <v>99</v>
      </c>
      <c r="G51" s="87"/>
      <c r="H51" s="89"/>
      <c r="J51" s="83" t="s">
        <v>84</v>
      </c>
      <c r="K51" s="84" t="s">
        <v>85</v>
      </c>
      <c r="L51" s="85">
        <v>203</v>
      </c>
      <c r="M51" s="85">
        <v>1.45</v>
      </c>
      <c r="N51" s="85" t="s">
        <v>86</v>
      </c>
      <c r="O51" s="87"/>
      <c r="P51" s="89"/>
      <c r="R51" s="83" t="s">
        <v>94</v>
      </c>
      <c r="S51" s="84" t="s">
        <v>95</v>
      </c>
      <c r="T51" s="85">
        <v>401</v>
      </c>
      <c r="U51" s="86">
        <v>3</v>
      </c>
      <c r="V51" s="85" t="s">
        <v>99</v>
      </c>
      <c r="W51" s="87"/>
      <c r="X51" s="89"/>
      <c r="Z51" s="83" t="s">
        <v>94</v>
      </c>
      <c r="AA51" s="84" t="s">
        <v>95</v>
      </c>
      <c r="AB51" s="85">
        <v>401</v>
      </c>
      <c r="AC51" s="86">
        <v>3</v>
      </c>
      <c r="AD51" s="85" t="s">
        <v>99</v>
      </c>
      <c r="AE51" s="87"/>
      <c r="AF51" s="89"/>
    </row>
    <row r="52" spans="2:32" x14ac:dyDescent="0.3">
      <c r="B52" s="83" t="s">
        <v>100</v>
      </c>
      <c r="C52" s="84" t="s">
        <v>101</v>
      </c>
      <c r="D52" s="85">
        <v>211</v>
      </c>
      <c r="E52" s="86">
        <v>2</v>
      </c>
      <c r="F52" s="90" t="s">
        <v>48</v>
      </c>
      <c r="G52" s="87"/>
      <c r="H52" s="88" t="s">
        <v>102</v>
      </c>
      <c r="J52" s="83" t="s">
        <v>91</v>
      </c>
      <c r="K52" s="84" t="s">
        <v>92</v>
      </c>
      <c r="L52" s="85">
        <v>205</v>
      </c>
      <c r="M52" s="86">
        <v>1.3</v>
      </c>
      <c r="N52" s="85" t="s">
        <v>46</v>
      </c>
      <c r="O52" s="87"/>
      <c r="P52" s="89"/>
      <c r="R52" s="83" t="s">
        <v>100</v>
      </c>
      <c r="S52" s="84" t="s">
        <v>101</v>
      </c>
      <c r="T52" s="85">
        <v>211</v>
      </c>
      <c r="U52" s="86">
        <v>2</v>
      </c>
      <c r="V52" s="90" t="s">
        <v>48</v>
      </c>
      <c r="W52" s="87"/>
      <c r="X52" s="88" t="s">
        <v>105</v>
      </c>
      <c r="Z52" s="83" t="s">
        <v>100</v>
      </c>
      <c r="AA52" s="84" t="s">
        <v>101</v>
      </c>
      <c r="AB52" s="85">
        <v>211</v>
      </c>
      <c r="AC52" s="86">
        <v>2</v>
      </c>
      <c r="AD52" s="90" t="s">
        <v>48</v>
      </c>
      <c r="AE52" s="87"/>
      <c r="AF52" s="88" t="s">
        <v>102</v>
      </c>
    </row>
    <row r="53" spans="2:32" x14ac:dyDescent="0.3">
      <c r="B53" s="83" t="s">
        <v>91</v>
      </c>
      <c r="C53" s="84" t="s">
        <v>92</v>
      </c>
      <c r="D53" s="85">
        <v>205</v>
      </c>
      <c r="E53" s="86">
        <v>1.3</v>
      </c>
      <c r="F53" s="85" t="s">
        <v>46</v>
      </c>
      <c r="G53" s="87">
        <v>20</v>
      </c>
      <c r="H53" s="89" t="s">
        <v>131</v>
      </c>
      <c r="J53" s="83" t="s">
        <v>106</v>
      </c>
      <c r="K53" s="84" t="s">
        <v>107</v>
      </c>
      <c r="L53" s="85">
        <v>208</v>
      </c>
      <c r="M53" s="86">
        <v>2</v>
      </c>
      <c r="N53" s="85" t="s">
        <v>58</v>
      </c>
      <c r="O53" s="87"/>
      <c r="P53" s="89"/>
      <c r="R53" s="83" t="s">
        <v>91</v>
      </c>
      <c r="S53" s="84" t="s">
        <v>92</v>
      </c>
      <c r="T53" s="85">
        <v>205</v>
      </c>
      <c r="U53" s="86">
        <v>1.3</v>
      </c>
      <c r="V53" s="85" t="s">
        <v>46</v>
      </c>
      <c r="W53" s="87"/>
      <c r="X53" s="89"/>
      <c r="Z53" s="83" t="s">
        <v>91</v>
      </c>
      <c r="AA53" s="84" t="s">
        <v>92</v>
      </c>
      <c r="AB53" s="85">
        <v>205</v>
      </c>
      <c r="AC53" s="86">
        <v>1.3</v>
      </c>
      <c r="AD53" s="85" t="s">
        <v>46</v>
      </c>
      <c r="AE53" s="87"/>
      <c r="AF53" s="89"/>
    </row>
    <row r="54" spans="2:32" x14ac:dyDescent="0.3">
      <c r="B54" s="83" t="s">
        <v>106</v>
      </c>
      <c r="C54" s="84" t="s">
        <v>107</v>
      </c>
      <c r="D54" s="85">
        <v>208</v>
      </c>
      <c r="E54" s="86">
        <v>2</v>
      </c>
      <c r="F54" s="85" t="s">
        <v>58</v>
      </c>
      <c r="G54" s="87"/>
      <c r="H54" s="89"/>
      <c r="J54" s="83" t="s">
        <v>100</v>
      </c>
      <c r="K54" s="84" t="s">
        <v>101</v>
      </c>
      <c r="L54" s="85">
        <v>211</v>
      </c>
      <c r="M54" s="86">
        <v>2</v>
      </c>
      <c r="N54" s="90" t="s">
        <v>48</v>
      </c>
      <c r="O54" s="87"/>
      <c r="P54" s="88" t="s">
        <v>124</v>
      </c>
      <c r="R54" s="83" t="s">
        <v>106</v>
      </c>
      <c r="S54" s="84" t="s">
        <v>107</v>
      </c>
      <c r="T54" s="85">
        <v>208</v>
      </c>
      <c r="U54" s="86">
        <v>2</v>
      </c>
      <c r="V54" s="85" t="s">
        <v>58</v>
      </c>
      <c r="W54" s="87"/>
      <c r="X54" s="89"/>
      <c r="Z54" s="83" t="s">
        <v>106</v>
      </c>
      <c r="AA54" s="84" t="s">
        <v>107</v>
      </c>
      <c r="AB54" s="85">
        <v>208</v>
      </c>
      <c r="AC54" s="86">
        <v>2</v>
      </c>
      <c r="AD54" s="85" t="s">
        <v>58</v>
      </c>
      <c r="AE54" s="87"/>
      <c r="AF54" s="89"/>
    </row>
    <row r="55" spans="2:32" x14ac:dyDescent="0.3">
      <c r="B55" s="84" t="s">
        <v>112</v>
      </c>
      <c r="C55" s="84" t="s">
        <v>113</v>
      </c>
      <c r="D55" s="85">
        <v>243</v>
      </c>
      <c r="E55" s="86">
        <v>1.1000000000000001</v>
      </c>
      <c r="F55" s="90" t="s">
        <v>114</v>
      </c>
      <c r="G55" s="87"/>
      <c r="H55" s="89"/>
      <c r="J55" s="84" t="s">
        <v>112</v>
      </c>
      <c r="K55" s="84" t="s">
        <v>113</v>
      </c>
      <c r="L55" s="85">
        <v>243</v>
      </c>
      <c r="M55" s="86">
        <v>1.1000000000000001</v>
      </c>
      <c r="N55" s="90" t="s">
        <v>114</v>
      </c>
      <c r="O55" s="87"/>
      <c r="P55" s="89"/>
      <c r="R55" s="84" t="s">
        <v>112</v>
      </c>
      <c r="S55" s="84" t="s">
        <v>113</v>
      </c>
      <c r="T55" s="85">
        <v>243</v>
      </c>
      <c r="U55" s="86">
        <v>1.1000000000000001</v>
      </c>
      <c r="V55" s="90" t="s">
        <v>114</v>
      </c>
      <c r="W55" s="87"/>
      <c r="X55" s="89"/>
      <c r="Z55" s="84" t="s">
        <v>112</v>
      </c>
      <c r="AA55" s="84" t="s">
        <v>113</v>
      </c>
      <c r="AB55" s="85">
        <v>243</v>
      </c>
      <c r="AC55" s="86">
        <v>1.1000000000000001</v>
      </c>
      <c r="AD55" s="90" t="s">
        <v>114</v>
      </c>
      <c r="AE55" s="87"/>
      <c r="AF55" s="89"/>
    </row>
    <row r="56" spans="2:32" x14ac:dyDescent="0.3">
      <c r="B56" s="84" t="s">
        <v>116</v>
      </c>
      <c r="C56" s="84" t="s">
        <v>66</v>
      </c>
      <c r="D56" s="85">
        <v>593</v>
      </c>
      <c r="E56" s="86">
        <v>3</v>
      </c>
      <c r="F56" s="90" t="s">
        <v>117</v>
      </c>
      <c r="G56" s="87"/>
      <c r="H56" s="88" t="s">
        <v>80</v>
      </c>
      <c r="J56" s="83" t="s">
        <v>94</v>
      </c>
      <c r="K56" s="84" t="s">
        <v>95</v>
      </c>
      <c r="L56" s="85">
        <v>401</v>
      </c>
      <c r="M56" s="86">
        <v>3</v>
      </c>
      <c r="N56" s="85" t="s">
        <v>99</v>
      </c>
      <c r="O56" s="87"/>
      <c r="P56" s="89"/>
      <c r="R56" s="84" t="s">
        <v>116</v>
      </c>
      <c r="S56" s="84" t="s">
        <v>89</v>
      </c>
      <c r="T56" s="85">
        <v>593</v>
      </c>
      <c r="U56" s="86">
        <v>3</v>
      </c>
      <c r="V56" s="90" t="s">
        <v>117</v>
      </c>
      <c r="W56" s="87"/>
      <c r="X56" s="88" t="s">
        <v>80</v>
      </c>
      <c r="Z56" s="84" t="s">
        <v>116</v>
      </c>
      <c r="AA56" s="84" t="s">
        <v>89</v>
      </c>
      <c r="AB56" s="85">
        <v>593</v>
      </c>
      <c r="AC56" s="86">
        <v>3</v>
      </c>
      <c r="AD56" s="90" t="s">
        <v>117</v>
      </c>
      <c r="AE56" s="87"/>
      <c r="AF56" s="88" t="s">
        <v>80</v>
      </c>
    </row>
    <row r="57" spans="2:32" x14ac:dyDescent="0.3">
      <c r="B57" s="84" t="s">
        <v>118</v>
      </c>
      <c r="C57" s="84" t="s">
        <v>66</v>
      </c>
      <c r="D57" s="85">
        <v>587</v>
      </c>
      <c r="E57" s="86">
        <v>3</v>
      </c>
      <c r="F57" s="90" t="s">
        <v>119</v>
      </c>
      <c r="G57" s="87"/>
      <c r="H57" s="88" t="s">
        <v>80</v>
      </c>
      <c r="J57" s="84" t="s">
        <v>118</v>
      </c>
      <c r="K57" s="84" t="s">
        <v>66</v>
      </c>
      <c r="L57" s="85">
        <v>587</v>
      </c>
      <c r="M57" s="86">
        <v>3</v>
      </c>
      <c r="N57" s="90" t="s">
        <v>119</v>
      </c>
      <c r="O57" s="87"/>
      <c r="P57" s="88" t="s">
        <v>80</v>
      </c>
      <c r="R57" s="84" t="s">
        <v>118</v>
      </c>
      <c r="S57" s="84" t="s">
        <v>66</v>
      </c>
      <c r="T57" s="85">
        <v>587</v>
      </c>
      <c r="U57" s="86">
        <v>3</v>
      </c>
      <c r="V57" s="90" t="s">
        <v>119</v>
      </c>
      <c r="W57" s="87"/>
      <c r="X57" s="88" t="s">
        <v>80</v>
      </c>
      <c r="Z57" s="84" t="s">
        <v>118</v>
      </c>
      <c r="AA57" s="84" t="s">
        <v>66</v>
      </c>
      <c r="AB57" s="85">
        <v>587</v>
      </c>
      <c r="AC57" s="86">
        <v>3</v>
      </c>
      <c r="AD57" s="90" t="s">
        <v>119</v>
      </c>
      <c r="AE57" s="87"/>
      <c r="AF57" s="88" t="s">
        <v>80</v>
      </c>
    </row>
    <row r="58" spans="2:32" x14ac:dyDescent="0.3">
      <c r="B58" s="84" t="s">
        <v>103</v>
      </c>
      <c r="C58" s="84" t="s">
        <v>104</v>
      </c>
      <c r="D58" s="85">
        <v>108</v>
      </c>
      <c r="E58" s="86">
        <v>2</v>
      </c>
      <c r="F58" s="90" t="s">
        <v>123</v>
      </c>
      <c r="G58" s="87"/>
      <c r="H58" s="88"/>
      <c r="J58" s="84" t="s">
        <v>116</v>
      </c>
      <c r="K58" s="84" t="s">
        <v>89</v>
      </c>
      <c r="L58" s="85">
        <v>593</v>
      </c>
      <c r="M58" s="86">
        <v>3</v>
      </c>
      <c r="N58" s="90" t="s">
        <v>117</v>
      </c>
      <c r="O58" s="87"/>
      <c r="P58" s="88" t="s">
        <v>80</v>
      </c>
      <c r="R58" s="84" t="s">
        <v>103</v>
      </c>
      <c r="S58" s="84" t="s">
        <v>104</v>
      </c>
      <c r="T58" s="85">
        <v>108</v>
      </c>
      <c r="U58" s="86">
        <v>2</v>
      </c>
      <c r="V58" s="90" t="s">
        <v>123</v>
      </c>
      <c r="W58" s="87"/>
      <c r="X58" s="88"/>
      <c r="Z58" s="84" t="s">
        <v>103</v>
      </c>
      <c r="AA58" s="84" t="s">
        <v>104</v>
      </c>
      <c r="AB58" s="85">
        <v>108</v>
      </c>
      <c r="AC58" s="86">
        <v>2</v>
      </c>
      <c r="AD58" s="90" t="s">
        <v>123</v>
      </c>
      <c r="AE58" s="87"/>
      <c r="AF58" s="88"/>
    </row>
    <row r="59" spans="2:32" x14ac:dyDescent="0.3">
      <c r="B59" s="83" t="s">
        <v>96</v>
      </c>
      <c r="C59" s="84" t="s">
        <v>97</v>
      </c>
      <c r="D59" s="90">
        <v>207</v>
      </c>
      <c r="E59" s="86">
        <v>1.3</v>
      </c>
      <c r="F59" s="90" t="s">
        <v>98</v>
      </c>
      <c r="G59" s="87"/>
      <c r="H59" s="89"/>
      <c r="J59" s="106" t="s">
        <v>78</v>
      </c>
      <c r="K59" s="106" t="s">
        <v>79</v>
      </c>
      <c r="L59" s="107" t="s">
        <v>90</v>
      </c>
      <c r="M59" s="108">
        <v>1.2</v>
      </c>
      <c r="N59" s="109" t="s">
        <v>40</v>
      </c>
      <c r="O59" s="110"/>
      <c r="P59" s="111"/>
      <c r="R59" s="83" t="s">
        <v>96</v>
      </c>
      <c r="S59" s="84" t="s">
        <v>97</v>
      </c>
      <c r="T59" s="90">
        <v>207</v>
      </c>
      <c r="U59" s="86">
        <v>1.3</v>
      </c>
      <c r="V59" s="90" t="s">
        <v>98</v>
      </c>
      <c r="W59" s="87"/>
      <c r="X59" s="89"/>
      <c r="Z59" s="83" t="s">
        <v>96</v>
      </c>
      <c r="AA59" s="84" t="s">
        <v>97</v>
      </c>
      <c r="AB59" s="90">
        <v>207</v>
      </c>
      <c r="AC59" s="86">
        <v>1.3</v>
      </c>
      <c r="AD59" s="90" t="s">
        <v>98</v>
      </c>
      <c r="AE59" s="87"/>
      <c r="AF59" s="89"/>
    </row>
    <row r="60" spans="2:32" x14ac:dyDescent="0.3">
      <c r="B60" s="84" t="s">
        <v>109</v>
      </c>
      <c r="C60" s="84" t="s">
        <v>110</v>
      </c>
      <c r="D60" s="85">
        <v>143</v>
      </c>
      <c r="E60" s="85">
        <v>1.45</v>
      </c>
      <c r="F60" s="90" t="s">
        <v>111</v>
      </c>
      <c r="G60" s="87"/>
      <c r="H60" s="89"/>
      <c r="J60" s="112" t="s">
        <v>81</v>
      </c>
      <c r="K60" s="106" t="s">
        <v>82</v>
      </c>
      <c r="L60" s="107" t="s">
        <v>90</v>
      </c>
      <c r="M60" s="108">
        <v>1.2</v>
      </c>
      <c r="N60" s="107" t="s">
        <v>40</v>
      </c>
      <c r="O60" s="110"/>
      <c r="P60" s="111"/>
      <c r="R60" s="84" t="s">
        <v>109</v>
      </c>
      <c r="S60" s="84" t="s">
        <v>110</v>
      </c>
      <c r="T60" s="85">
        <v>143</v>
      </c>
      <c r="U60" s="85">
        <v>1.45</v>
      </c>
      <c r="V60" s="90" t="s">
        <v>111</v>
      </c>
      <c r="W60" s="87"/>
      <c r="X60" s="89"/>
      <c r="Z60" s="84" t="s">
        <v>109</v>
      </c>
      <c r="AA60" s="84" t="s">
        <v>110</v>
      </c>
      <c r="AB60" s="85">
        <v>143</v>
      </c>
      <c r="AC60" s="85">
        <v>1.45</v>
      </c>
      <c r="AD60" s="90" t="s">
        <v>111</v>
      </c>
      <c r="AE60" s="87"/>
      <c r="AF60" s="89"/>
    </row>
    <row r="61" spans="2:32" x14ac:dyDescent="0.3">
      <c r="B61" s="83" t="s">
        <v>84</v>
      </c>
      <c r="C61" s="84" t="s">
        <v>85</v>
      </c>
      <c r="D61" s="85">
        <v>203</v>
      </c>
      <c r="E61" s="85">
        <v>1.45</v>
      </c>
      <c r="F61" s="85" t="s">
        <v>86</v>
      </c>
      <c r="G61" s="87"/>
      <c r="H61" s="89"/>
      <c r="J61" s="112" t="s">
        <v>96</v>
      </c>
      <c r="K61" s="106" t="s">
        <v>97</v>
      </c>
      <c r="L61" s="109" t="s">
        <v>90</v>
      </c>
      <c r="M61" s="108">
        <v>1.3</v>
      </c>
      <c r="N61" s="109" t="s">
        <v>98</v>
      </c>
      <c r="O61" s="110"/>
      <c r="P61" s="114"/>
      <c r="R61" s="83" t="s">
        <v>84</v>
      </c>
      <c r="S61" s="84" t="s">
        <v>85</v>
      </c>
      <c r="T61" s="85">
        <v>203</v>
      </c>
      <c r="U61" s="85">
        <v>1.45</v>
      </c>
      <c r="V61" s="85" t="s">
        <v>86</v>
      </c>
      <c r="W61" s="87"/>
      <c r="X61" s="89"/>
      <c r="Z61" s="83" t="s">
        <v>84</v>
      </c>
      <c r="AA61" s="84" t="s">
        <v>85</v>
      </c>
      <c r="AB61" s="85">
        <v>203</v>
      </c>
      <c r="AC61" s="85">
        <v>1.45</v>
      </c>
      <c r="AD61" s="85" t="s">
        <v>86</v>
      </c>
      <c r="AE61" s="87"/>
      <c r="AF61" s="89"/>
    </row>
    <row r="62" spans="2:32" x14ac:dyDescent="0.3">
      <c r="B62" s="84"/>
      <c r="C62" s="84"/>
      <c r="D62" s="85"/>
      <c r="E62" s="86"/>
      <c r="F62" s="85"/>
      <c r="G62" s="87"/>
      <c r="H62" s="89"/>
      <c r="J62" s="84"/>
      <c r="K62" s="84"/>
      <c r="L62" s="85"/>
      <c r="M62" s="86"/>
      <c r="N62" s="85"/>
      <c r="O62" s="87"/>
      <c r="P62" s="89"/>
      <c r="R62" s="84"/>
      <c r="S62" s="84"/>
      <c r="T62" s="85"/>
      <c r="U62" s="86"/>
      <c r="V62" s="85"/>
      <c r="W62" s="87"/>
      <c r="X62" s="89"/>
      <c r="Z62" s="84"/>
      <c r="AA62" s="84"/>
      <c r="AB62" s="85"/>
      <c r="AC62" s="86"/>
      <c r="AD62" s="85"/>
      <c r="AE62" s="87"/>
      <c r="AF62" s="89"/>
    </row>
    <row r="63" spans="2:32" x14ac:dyDescent="0.3">
      <c r="B63" s="84"/>
      <c r="C63" s="84"/>
      <c r="D63" s="85"/>
      <c r="E63" s="86"/>
      <c r="F63" s="85"/>
      <c r="G63" s="87"/>
      <c r="H63" s="89"/>
      <c r="J63" s="84"/>
      <c r="K63" s="84"/>
      <c r="L63" s="85"/>
      <c r="M63" s="86"/>
      <c r="N63" s="85"/>
      <c r="O63" s="87"/>
      <c r="P63" s="89"/>
      <c r="R63" s="84"/>
      <c r="S63" s="84"/>
      <c r="T63" s="85"/>
      <c r="U63" s="86"/>
      <c r="V63" s="85"/>
      <c r="W63" s="87"/>
      <c r="X63" s="89"/>
      <c r="Z63" s="84"/>
      <c r="AA63" s="84"/>
      <c r="AB63" s="85"/>
      <c r="AC63" s="86"/>
      <c r="AD63" s="85"/>
      <c r="AE63" s="87"/>
      <c r="AF63" s="89"/>
    </row>
    <row r="64" spans="2:32" x14ac:dyDescent="0.3">
      <c r="B64" s="83"/>
      <c r="C64" s="83"/>
      <c r="D64" s="85"/>
      <c r="E64" s="85"/>
      <c r="F64" s="90"/>
      <c r="G64" s="87"/>
      <c r="H64" s="89"/>
      <c r="J64" s="83"/>
      <c r="K64" s="83"/>
      <c r="L64" s="85"/>
      <c r="M64" s="85"/>
      <c r="N64" s="90"/>
      <c r="O64" s="87"/>
      <c r="P64" s="89"/>
      <c r="R64" s="83"/>
      <c r="S64" s="83"/>
      <c r="T64" s="85"/>
      <c r="U64" s="85"/>
      <c r="V64" s="90"/>
      <c r="W64" s="87"/>
      <c r="X64" s="89"/>
      <c r="Z64" s="83"/>
      <c r="AA64" s="83"/>
      <c r="AB64" s="85"/>
      <c r="AC64" s="85"/>
      <c r="AD64" s="90"/>
      <c r="AE64" s="87"/>
      <c r="AF64" s="89"/>
    </row>
    <row r="65" spans="2:32" x14ac:dyDescent="0.3">
      <c r="B65" s="83"/>
      <c r="C65" s="83"/>
      <c r="D65" s="85"/>
      <c r="E65" s="85"/>
      <c r="F65" s="85"/>
      <c r="G65" s="87"/>
      <c r="H65" s="89"/>
      <c r="J65" s="83"/>
      <c r="K65" s="83"/>
      <c r="L65" s="85"/>
      <c r="M65" s="85"/>
      <c r="N65" s="85"/>
      <c r="O65" s="87"/>
      <c r="P65" s="89"/>
      <c r="R65" s="83"/>
      <c r="S65" s="83"/>
      <c r="T65" s="85"/>
      <c r="U65" s="85"/>
      <c r="V65" s="85"/>
      <c r="W65" s="87"/>
      <c r="X65" s="89"/>
      <c r="Z65" s="83"/>
      <c r="AA65" s="83"/>
      <c r="AB65" s="85"/>
      <c r="AC65" s="85"/>
      <c r="AD65" s="85"/>
      <c r="AE65" s="87"/>
      <c r="AF65" s="89"/>
    </row>
    <row r="66" spans="2:32" x14ac:dyDescent="0.3">
      <c r="B66" s="83"/>
      <c r="C66" s="83"/>
      <c r="D66" s="85"/>
      <c r="E66" s="85"/>
      <c r="F66" s="85"/>
      <c r="G66" s="87"/>
      <c r="H66" s="89"/>
      <c r="J66" s="83"/>
      <c r="K66" s="83"/>
      <c r="L66" s="85"/>
      <c r="M66" s="85"/>
      <c r="N66" s="85"/>
      <c r="O66" s="87"/>
      <c r="P66" s="89"/>
      <c r="R66" s="83"/>
      <c r="S66" s="83"/>
      <c r="T66" s="85"/>
      <c r="U66" s="85"/>
      <c r="V66" s="85"/>
      <c r="W66" s="87"/>
      <c r="X66" s="89"/>
      <c r="Z66" s="83"/>
      <c r="AA66" s="83"/>
      <c r="AB66" s="85"/>
      <c r="AC66" s="85"/>
      <c r="AD66" s="85"/>
      <c r="AE66" s="87"/>
      <c r="AF66" s="89"/>
    </row>
    <row r="67" spans="2:32" ht="15" thickBot="1" x14ac:dyDescent="0.35">
      <c r="B67" s="115"/>
      <c r="C67" s="115"/>
      <c r="D67" s="116"/>
      <c r="E67" s="116"/>
      <c r="F67" s="116"/>
      <c r="G67" s="117"/>
      <c r="H67" s="118"/>
      <c r="J67" s="115"/>
      <c r="K67" s="115"/>
      <c r="L67" s="116"/>
      <c r="M67" s="116"/>
      <c r="N67" s="116"/>
      <c r="O67" s="117"/>
      <c r="P67" s="118"/>
      <c r="R67" s="115"/>
      <c r="S67" s="115"/>
      <c r="T67" s="116"/>
      <c r="U67" s="116"/>
      <c r="V67" s="116"/>
      <c r="W67" s="117"/>
      <c r="X67" s="118"/>
      <c r="Z67" s="115"/>
      <c r="AA67" s="115"/>
      <c r="AB67" s="116"/>
      <c r="AC67" s="116"/>
      <c r="AD67" s="116"/>
      <c r="AE67" s="117"/>
      <c r="AF67" s="118"/>
    </row>
    <row r="68" spans="2:32" ht="15.6" x14ac:dyDescent="0.3">
      <c r="B68" s="207" t="s">
        <v>132</v>
      </c>
      <c r="C68" s="208"/>
      <c r="D68" s="208"/>
      <c r="E68" s="208"/>
      <c r="F68" s="208"/>
      <c r="G68" s="209">
        <v>46310</v>
      </c>
      <c r="H68" s="210"/>
      <c r="I68" s="64"/>
      <c r="J68" s="207" t="s">
        <v>132</v>
      </c>
      <c r="K68" s="208"/>
      <c r="L68" s="208"/>
      <c r="M68" s="208"/>
      <c r="N68" s="208"/>
      <c r="O68" s="209">
        <v>46317</v>
      </c>
      <c r="P68" s="210"/>
      <c r="Q68" s="64"/>
      <c r="R68" s="207" t="s">
        <v>132</v>
      </c>
      <c r="S68" s="208"/>
      <c r="T68" s="208"/>
      <c r="U68" s="208"/>
      <c r="V68" s="208"/>
      <c r="W68" s="209">
        <v>46324</v>
      </c>
      <c r="X68" s="210"/>
      <c r="Y68" s="64"/>
      <c r="Z68" s="207" t="s">
        <v>132</v>
      </c>
      <c r="AA68" s="208"/>
      <c r="AB68" s="208"/>
      <c r="AC68" s="208"/>
      <c r="AD68" s="208"/>
      <c r="AE68" s="209">
        <v>46331</v>
      </c>
      <c r="AF68" s="210"/>
    </row>
    <row r="69" spans="2:32" ht="15" thickBot="1" x14ac:dyDescent="0.35">
      <c r="B69" s="65" t="s">
        <v>12</v>
      </c>
      <c r="C69" s="65" t="s">
        <v>73</v>
      </c>
      <c r="D69" s="66" t="s">
        <v>29</v>
      </c>
      <c r="E69" s="66" t="s">
        <v>74</v>
      </c>
      <c r="F69" s="67" t="s">
        <v>75</v>
      </c>
      <c r="G69" s="68" t="s">
        <v>122</v>
      </c>
      <c r="H69" s="68" t="s">
        <v>77</v>
      </c>
      <c r="J69" s="65" t="s">
        <v>12</v>
      </c>
      <c r="K69" s="65" t="s">
        <v>73</v>
      </c>
      <c r="L69" s="66" t="s">
        <v>29</v>
      </c>
      <c r="M69" s="66" t="s">
        <v>74</v>
      </c>
      <c r="N69" s="67" t="s">
        <v>75</v>
      </c>
      <c r="O69" s="68" t="s">
        <v>122</v>
      </c>
      <c r="P69" s="68" t="s">
        <v>77</v>
      </c>
      <c r="R69" s="65" t="s">
        <v>12</v>
      </c>
      <c r="S69" s="65" t="s">
        <v>73</v>
      </c>
      <c r="T69" s="66" t="s">
        <v>29</v>
      </c>
      <c r="U69" s="66" t="s">
        <v>74</v>
      </c>
      <c r="V69" s="67" t="s">
        <v>75</v>
      </c>
      <c r="W69" s="68" t="s">
        <v>122</v>
      </c>
      <c r="X69" s="68" t="s">
        <v>77</v>
      </c>
      <c r="Z69" s="65" t="s">
        <v>12</v>
      </c>
      <c r="AA69" s="65" t="s">
        <v>73</v>
      </c>
      <c r="AB69" s="66" t="s">
        <v>29</v>
      </c>
      <c r="AC69" s="66" t="s">
        <v>74</v>
      </c>
      <c r="AD69" s="67" t="s">
        <v>75</v>
      </c>
      <c r="AE69" s="68" t="s">
        <v>122</v>
      </c>
      <c r="AF69" s="68" t="s">
        <v>77</v>
      </c>
    </row>
    <row r="70" spans="2:32" x14ac:dyDescent="0.3">
      <c r="B70" s="70" t="s">
        <v>78</v>
      </c>
      <c r="C70" s="70" t="s">
        <v>79</v>
      </c>
      <c r="D70" s="71">
        <v>251</v>
      </c>
      <c r="E70" s="72">
        <v>1.2</v>
      </c>
      <c r="F70" s="73" t="s">
        <v>40</v>
      </c>
      <c r="G70" s="74"/>
      <c r="H70" s="75" t="s">
        <v>80</v>
      </c>
      <c r="J70" s="76" t="s">
        <v>88</v>
      </c>
      <c r="K70" s="70" t="s">
        <v>93</v>
      </c>
      <c r="L70" s="73">
        <v>105</v>
      </c>
      <c r="M70" s="119">
        <v>1.3</v>
      </c>
      <c r="N70" s="71" t="s">
        <v>55</v>
      </c>
      <c r="O70" s="74"/>
      <c r="P70" s="120"/>
      <c r="R70" s="70" t="s">
        <v>78</v>
      </c>
      <c r="S70" s="70" t="s">
        <v>79</v>
      </c>
      <c r="T70" s="71">
        <v>251</v>
      </c>
      <c r="U70" s="72">
        <v>1.2</v>
      </c>
      <c r="V70" s="73" t="s">
        <v>40</v>
      </c>
      <c r="W70" s="74"/>
      <c r="X70" s="75" t="s">
        <v>80</v>
      </c>
      <c r="Z70" s="70" t="s">
        <v>78</v>
      </c>
      <c r="AA70" s="70" t="s">
        <v>79</v>
      </c>
      <c r="AB70" s="71">
        <v>251</v>
      </c>
      <c r="AC70" s="72">
        <v>1.2</v>
      </c>
      <c r="AD70" s="73" t="s">
        <v>40</v>
      </c>
      <c r="AE70" s="74"/>
      <c r="AF70" s="75" t="s">
        <v>80</v>
      </c>
    </row>
    <row r="71" spans="2:32" x14ac:dyDescent="0.3">
      <c r="B71" s="83" t="s">
        <v>81</v>
      </c>
      <c r="C71" s="84" t="s">
        <v>82</v>
      </c>
      <c r="D71" s="85">
        <v>202</v>
      </c>
      <c r="E71" s="86">
        <v>1.2</v>
      </c>
      <c r="F71" s="85" t="s">
        <v>40</v>
      </c>
      <c r="G71" s="87"/>
      <c r="H71" s="88" t="s">
        <v>80</v>
      </c>
      <c r="J71" s="84" t="s">
        <v>103</v>
      </c>
      <c r="K71" s="84" t="s">
        <v>104</v>
      </c>
      <c r="L71" s="85">
        <v>108</v>
      </c>
      <c r="M71" s="86">
        <v>2</v>
      </c>
      <c r="N71" s="90" t="s">
        <v>123</v>
      </c>
      <c r="O71" s="87"/>
      <c r="P71" s="88"/>
      <c r="R71" s="83" t="s">
        <v>81</v>
      </c>
      <c r="S71" s="84" t="s">
        <v>82</v>
      </c>
      <c r="T71" s="85" t="s">
        <v>87</v>
      </c>
      <c r="U71" s="86">
        <v>1.2</v>
      </c>
      <c r="V71" s="85" t="s">
        <v>40</v>
      </c>
      <c r="W71" s="87"/>
      <c r="X71" s="88" t="s">
        <v>80</v>
      </c>
      <c r="Z71" s="83" t="s">
        <v>81</v>
      </c>
      <c r="AA71" s="84" t="s">
        <v>82</v>
      </c>
      <c r="AB71" s="85" t="s">
        <v>87</v>
      </c>
      <c r="AC71" s="86">
        <v>1.2</v>
      </c>
      <c r="AD71" s="85" t="s">
        <v>40</v>
      </c>
      <c r="AE71" s="87"/>
      <c r="AF71" s="88" t="s">
        <v>80</v>
      </c>
    </row>
    <row r="72" spans="2:32" x14ac:dyDescent="0.3">
      <c r="B72" s="83" t="s">
        <v>88</v>
      </c>
      <c r="C72" s="84" t="s">
        <v>89</v>
      </c>
      <c r="D72" s="90">
        <v>105</v>
      </c>
      <c r="E72" s="91">
        <v>1.3</v>
      </c>
      <c r="F72" s="85" t="s">
        <v>55</v>
      </c>
      <c r="G72" s="87"/>
      <c r="H72" s="89"/>
      <c r="J72" s="84" t="s">
        <v>109</v>
      </c>
      <c r="K72" s="84" t="s">
        <v>110</v>
      </c>
      <c r="L72" s="85">
        <v>143</v>
      </c>
      <c r="M72" s="85">
        <v>1.45</v>
      </c>
      <c r="N72" s="90" t="s">
        <v>111</v>
      </c>
      <c r="O72" s="87"/>
      <c r="P72" s="89"/>
      <c r="R72" s="83" t="s">
        <v>88</v>
      </c>
      <c r="S72" s="84" t="s">
        <v>93</v>
      </c>
      <c r="T72" s="90">
        <v>105</v>
      </c>
      <c r="U72" s="91">
        <v>1.3</v>
      </c>
      <c r="V72" s="85" t="s">
        <v>55</v>
      </c>
      <c r="W72" s="87"/>
      <c r="X72" s="89"/>
      <c r="Z72" s="83" t="s">
        <v>88</v>
      </c>
      <c r="AA72" s="84" t="s">
        <v>93</v>
      </c>
      <c r="AB72" s="90">
        <v>105</v>
      </c>
      <c r="AC72" s="91">
        <v>1.3</v>
      </c>
      <c r="AD72" s="85" t="s">
        <v>55</v>
      </c>
      <c r="AE72" s="87"/>
      <c r="AF72" s="89"/>
    </row>
    <row r="73" spans="2:32" x14ac:dyDescent="0.3">
      <c r="B73" s="83" t="s">
        <v>94</v>
      </c>
      <c r="C73" s="84" t="s">
        <v>95</v>
      </c>
      <c r="D73" s="85">
        <v>401</v>
      </c>
      <c r="E73" s="86">
        <v>3</v>
      </c>
      <c r="F73" s="85" t="s">
        <v>99</v>
      </c>
      <c r="G73" s="87"/>
      <c r="H73" s="89"/>
      <c r="J73" s="83" t="s">
        <v>84</v>
      </c>
      <c r="K73" s="84" t="s">
        <v>85</v>
      </c>
      <c r="L73" s="85">
        <v>203</v>
      </c>
      <c r="M73" s="85">
        <v>1.45</v>
      </c>
      <c r="N73" s="85" t="s">
        <v>86</v>
      </c>
      <c r="O73" s="87"/>
      <c r="P73" s="89"/>
      <c r="R73" s="83" t="s">
        <v>94</v>
      </c>
      <c r="S73" s="84" t="s">
        <v>95</v>
      </c>
      <c r="T73" s="85">
        <v>401</v>
      </c>
      <c r="U73" s="86">
        <v>3</v>
      </c>
      <c r="V73" s="85" t="s">
        <v>99</v>
      </c>
      <c r="W73" s="87"/>
      <c r="X73" s="89"/>
      <c r="Z73" s="83" t="s">
        <v>94</v>
      </c>
      <c r="AA73" s="84" t="s">
        <v>95</v>
      </c>
      <c r="AB73" s="85">
        <v>401</v>
      </c>
      <c r="AC73" s="86">
        <v>3</v>
      </c>
      <c r="AD73" s="85" t="s">
        <v>99</v>
      </c>
      <c r="AE73" s="87"/>
      <c r="AF73" s="89"/>
    </row>
    <row r="74" spans="2:32" x14ac:dyDescent="0.3">
      <c r="B74" s="83" t="s">
        <v>100</v>
      </c>
      <c r="C74" s="84" t="s">
        <v>101</v>
      </c>
      <c r="D74" s="85">
        <v>211</v>
      </c>
      <c r="E74" s="86">
        <v>2</v>
      </c>
      <c r="F74" s="90" t="s">
        <v>48</v>
      </c>
      <c r="G74" s="87"/>
      <c r="H74" s="88" t="s">
        <v>102</v>
      </c>
      <c r="J74" s="83" t="s">
        <v>91</v>
      </c>
      <c r="K74" s="84" t="s">
        <v>92</v>
      </c>
      <c r="L74" s="85">
        <v>205</v>
      </c>
      <c r="M74" s="86">
        <v>1.3</v>
      </c>
      <c r="N74" s="85" t="s">
        <v>46</v>
      </c>
      <c r="O74" s="87"/>
      <c r="P74" s="89"/>
      <c r="R74" s="83" t="s">
        <v>100</v>
      </c>
      <c r="S74" s="84" t="s">
        <v>101</v>
      </c>
      <c r="T74" s="85">
        <v>211</v>
      </c>
      <c r="U74" s="86">
        <v>2</v>
      </c>
      <c r="V74" s="90" t="s">
        <v>48</v>
      </c>
      <c r="W74" s="87"/>
      <c r="X74" s="88" t="s">
        <v>105</v>
      </c>
      <c r="Z74" s="83" t="s">
        <v>100</v>
      </c>
      <c r="AA74" s="84" t="s">
        <v>101</v>
      </c>
      <c r="AB74" s="85">
        <v>211</v>
      </c>
      <c r="AC74" s="86">
        <v>2</v>
      </c>
      <c r="AD74" s="90" t="s">
        <v>48</v>
      </c>
      <c r="AE74" s="87"/>
      <c r="AF74" s="88" t="s">
        <v>102</v>
      </c>
    </row>
    <row r="75" spans="2:32" x14ac:dyDescent="0.3">
      <c r="B75" s="83" t="s">
        <v>91</v>
      </c>
      <c r="C75" s="84" t="s">
        <v>92</v>
      </c>
      <c r="D75" s="85">
        <v>205</v>
      </c>
      <c r="E75" s="86">
        <v>1.3</v>
      </c>
      <c r="F75" s="85" t="s">
        <v>46</v>
      </c>
      <c r="G75" s="87"/>
      <c r="H75" s="89"/>
      <c r="J75" s="84" t="s">
        <v>116</v>
      </c>
      <c r="K75" s="84" t="s">
        <v>89</v>
      </c>
      <c r="L75" s="85">
        <v>207</v>
      </c>
      <c r="M75" s="86">
        <v>3</v>
      </c>
      <c r="N75" s="90" t="s">
        <v>133</v>
      </c>
      <c r="O75" s="87"/>
      <c r="P75" s="88"/>
      <c r="R75" s="83" t="s">
        <v>91</v>
      </c>
      <c r="S75" s="84" t="s">
        <v>92</v>
      </c>
      <c r="T75" s="85">
        <v>205</v>
      </c>
      <c r="U75" s="86">
        <v>1.3</v>
      </c>
      <c r="V75" s="85" t="s">
        <v>46</v>
      </c>
      <c r="W75" s="87"/>
      <c r="X75" s="89"/>
      <c r="Z75" s="83" t="s">
        <v>91</v>
      </c>
      <c r="AA75" s="84" t="s">
        <v>92</v>
      </c>
      <c r="AB75" s="85">
        <v>205</v>
      </c>
      <c r="AC75" s="86">
        <v>1.3</v>
      </c>
      <c r="AD75" s="85" t="s">
        <v>46</v>
      </c>
      <c r="AE75" s="87"/>
      <c r="AF75" s="89"/>
    </row>
    <row r="76" spans="2:32" x14ac:dyDescent="0.3">
      <c r="B76" s="83" t="s">
        <v>106</v>
      </c>
      <c r="C76" s="84" t="s">
        <v>107</v>
      </c>
      <c r="D76" s="85">
        <v>208</v>
      </c>
      <c r="E76" s="86">
        <v>2</v>
      </c>
      <c r="F76" s="85" t="s">
        <v>58</v>
      </c>
      <c r="G76" s="87"/>
      <c r="H76" s="89"/>
      <c r="J76" s="83" t="s">
        <v>106</v>
      </c>
      <c r="K76" s="84" t="s">
        <v>107</v>
      </c>
      <c r="L76" s="85">
        <v>208</v>
      </c>
      <c r="M76" s="86">
        <v>2</v>
      </c>
      <c r="N76" s="85" t="s">
        <v>58</v>
      </c>
      <c r="O76" s="87"/>
      <c r="P76" s="89"/>
      <c r="R76" s="83" t="s">
        <v>106</v>
      </c>
      <c r="S76" s="84" t="s">
        <v>107</v>
      </c>
      <c r="T76" s="85">
        <v>208</v>
      </c>
      <c r="U76" s="86">
        <v>2</v>
      </c>
      <c r="V76" s="85" t="s">
        <v>58</v>
      </c>
      <c r="W76" s="87"/>
      <c r="X76" s="89"/>
      <c r="Z76" s="83" t="s">
        <v>106</v>
      </c>
      <c r="AA76" s="84" t="s">
        <v>107</v>
      </c>
      <c r="AB76" s="85">
        <v>208</v>
      </c>
      <c r="AC76" s="86">
        <v>2</v>
      </c>
      <c r="AD76" s="85" t="s">
        <v>58</v>
      </c>
      <c r="AE76" s="87"/>
      <c r="AF76" s="89"/>
    </row>
    <row r="77" spans="2:32" x14ac:dyDescent="0.3">
      <c r="B77" s="84" t="s">
        <v>112</v>
      </c>
      <c r="C77" s="84" t="s">
        <v>113</v>
      </c>
      <c r="D77" s="85">
        <v>243</v>
      </c>
      <c r="E77" s="86">
        <v>1.1000000000000001</v>
      </c>
      <c r="F77" s="90" t="s">
        <v>114</v>
      </c>
      <c r="G77" s="87"/>
      <c r="H77" s="89"/>
      <c r="J77" s="83" t="s">
        <v>100</v>
      </c>
      <c r="K77" s="84" t="s">
        <v>101</v>
      </c>
      <c r="L77" s="85">
        <v>211</v>
      </c>
      <c r="M77" s="86">
        <v>2</v>
      </c>
      <c r="N77" s="90" t="s">
        <v>48</v>
      </c>
      <c r="O77" s="87"/>
      <c r="P77" s="88" t="s">
        <v>124</v>
      </c>
      <c r="R77" s="84" t="s">
        <v>112</v>
      </c>
      <c r="S77" s="84" t="s">
        <v>113</v>
      </c>
      <c r="T77" s="85">
        <v>243</v>
      </c>
      <c r="U77" s="86">
        <v>1.1000000000000001</v>
      </c>
      <c r="V77" s="90" t="s">
        <v>114</v>
      </c>
      <c r="W77" s="87"/>
      <c r="X77" s="89"/>
      <c r="Z77" s="84" t="s">
        <v>112</v>
      </c>
      <c r="AA77" s="84" t="s">
        <v>113</v>
      </c>
      <c r="AB77" s="85">
        <v>243</v>
      </c>
      <c r="AC77" s="86">
        <v>1.1000000000000001</v>
      </c>
      <c r="AD77" s="90" t="s">
        <v>114</v>
      </c>
      <c r="AE77" s="87"/>
      <c r="AF77" s="89"/>
    </row>
    <row r="78" spans="2:32" x14ac:dyDescent="0.3">
      <c r="B78" s="84" t="s">
        <v>116</v>
      </c>
      <c r="C78" s="84" t="s">
        <v>66</v>
      </c>
      <c r="D78" s="85">
        <v>593</v>
      </c>
      <c r="E78" s="86">
        <v>3</v>
      </c>
      <c r="F78" s="90" t="s">
        <v>117</v>
      </c>
      <c r="G78" s="87"/>
      <c r="H78" s="88" t="s">
        <v>80</v>
      </c>
      <c r="J78" s="84" t="s">
        <v>112</v>
      </c>
      <c r="K78" s="84" t="s">
        <v>113</v>
      </c>
      <c r="L78" s="85">
        <v>243</v>
      </c>
      <c r="M78" s="86">
        <v>1.1000000000000001</v>
      </c>
      <c r="N78" s="90" t="s">
        <v>114</v>
      </c>
      <c r="O78" s="87"/>
      <c r="P78" s="89"/>
      <c r="R78" s="84" t="s">
        <v>116</v>
      </c>
      <c r="S78" s="84" t="s">
        <v>89</v>
      </c>
      <c r="T78" s="85">
        <v>593</v>
      </c>
      <c r="U78" s="86">
        <v>3</v>
      </c>
      <c r="V78" s="90" t="s">
        <v>117</v>
      </c>
      <c r="W78" s="87"/>
      <c r="X78" s="88" t="s">
        <v>80</v>
      </c>
      <c r="Z78" s="84" t="s">
        <v>116</v>
      </c>
      <c r="AA78" s="84" t="s">
        <v>89</v>
      </c>
      <c r="AB78" s="85">
        <v>593</v>
      </c>
      <c r="AC78" s="86">
        <v>3</v>
      </c>
      <c r="AD78" s="90" t="s">
        <v>117</v>
      </c>
      <c r="AE78" s="87"/>
      <c r="AF78" s="88" t="s">
        <v>80</v>
      </c>
    </row>
    <row r="79" spans="2:32" x14ac:dyDescent="0.3">
      <c r="B79" s="84" t="s">
        <v>118</v>
      </c>
      <c r="C79" s="84" t="s">
        <v>66</v>
      </c>
      <c r="D79" s="85">
        <v>587</v>
      </c>
      <c r="E79" s="86">
        <v>3</v>
      </c>
      <c r="F79" s="90" t="s">
        <v>119</v>
      </c>
      <c r="G79" s="87"/>
      <c r="H79" s="88" t="s">
        <v>80</v>
      </c>
      <c r="J79" s="83" t="s">
        <v>94</v>
      </c>
      <c r="K79" s="84" t="s">
        <v>95</v>
      </c>
      <c r="L79" s="85">
        <v>401</v>
      </c>
      <c r="M79" s="86">
        <v>3</v>
      </c>
      <c r="N79" s="85" t="s">
        <v>99</v>
      </c>
      <c r="O79" s="87"/>
      <c r="P79" s="89"/>
      <c r="R79" s="84" t="s">
        <v>118</v>
      </c>
      <c r="S79" s="84" t="s">
        <v>66</v>
      </c>
      <c r="T79" s="85">
        <v>587</v>
      </c>
      <c r="U79" s="86">
        <v>3</v>
      </c>
      <c r="V79" s="90" t="s">
        <v>119</v>
      </c>
      <c r="W79" s="87"/>
      <c r="X79" s="88" t="s">
        <v>80</v>
      </c>
      <c r="Z79" s="84" t="s">
        <v>118</v>
      </c>
      <c r="AA79" s="84" t="s">
        <v>66</v>
      </c>
      <c r="AB79" s="85">
        <v>587</v>
      </c>
      <c r="AC79" s="86">
        <v>3</v>
      </c>
      <c r="AD79" s="90" t="s">
        <v>119</v>
      </c>
      <c r="AE79" s="87"/>
      <c r="AF79" s="88" t="s">
        <v>80</v>
      </c>
    </row>
    <row r="80" spans="2:32" x14ac:dyDescent="0.3">
      <c r="B80" s="84" t="s">
        <v>103</v>
      </c>
      <c r="C80" s="84" t="s">
        <v>104</v>
      </c>
      <c r="D80" s="85">
        <v>108</v>
      </c>
      <c r="E80" s="86">
        <v>2</v>
      </c>
      <c r="F80" s="90" t="s">
        <v>123</v>
      </c>
      <c r="G80" s="87"/>
      <c r="H80" s="88"/>
      <c r="J80" s="84" t="s">
        <v>118</v>
      </c>
      <c r="K80" s="84" t="s">
        <v>66</v>
      </c>
      <c r="L80" s="85">
        <v>587</v>
      </c>
      <c r="M80" s="86">
        <v>3</v>
      </c>
      <c r="N80" s="90" t="s">
        <v>119</v>
      </c>
      <c r="O80" s="87"/>
      <c r="P80" s="88" t="s">
        <v>80</v>
      </c>
      <c r="R80" s="84" t="s">
        <v>103</v>
      </c>
      <c r="S80" s="84" t="s">
        <v>104</v>
      </c>
      <c r="T80" s="85">
        <v>108</v>
      </c>
      <c r="U80" s="86">
        <v>2</v>
      </c>
      <c r="V80" s="90" t="s">
        <v>123</v>
      </c>
      <c r="W80" s="87"/>
      <c r="X80" s="88"/>
      <c r="Z80" s="84" t="s">
        <v>103</v>
      </c>
      <c r="AA80" s="84" t="s">
        <v>104</v>
      </c>
      <c r="AB80" s="85">
        <v>108</v>
      </c>
      <c r="AC80" s="86">
        <v>2</v>
      </c>
      <c r="AD80" s="90" t="s">
        <v>123</v>
      </c>
      <c r="AE80" s="87"/>
      <c r="AF80" s="88"/>
    </row>
    <row r="81" spans="2:32" x14ac:dyDescent="0.3">
      <c r="B81" s="83" t="s">
        <v>96</v>
      </c>
      <c r="C81" s="84" t="s">
        <v>97</v>
      </c>
      <c r="D81" s="90">
        <v>207</v>
      </c>
      <c r="E81" s="86">
        <v>1.3</v>
      </c>
      <c r="F81" s="90" t="s">
        <v>98</v>
      </c>
      <c r="G81" s="87"/>
      <c r="H81" s="89"/>
      <c r="J81" s="83" t="s">
        <v>81</v>
      </c>
      <c r="K81" s="84" t="s">
        <v>82</v>
      </c>
      <c r="L81" s="85">
        <v>593</v>
      </c>
      <c r="M81" s="86">
        <v>1.2</v>
      </c>
      <c r="N81" s="85" t="s">
        <v>40</v>
      </c>
      <c r="O81" s="87"/>
      <c r="P81" s="88" t="s">
        <v>80</v>
      </c>
      <c r="R81" s="83" t="s">
        <v>96</v>
      </c>
      <c r="S81" s="84" t="s">
        <v>97</v>
      </c>
      <c r="T81" s="90">
        <v>207</v>
      </c>
      <c r="U81" s="86">
        <v>1.3</v>
      </c>
      <c r="V81" s="90" t="s">
        <v>98</v>
      </c>
      <c r="W81" s="87"/>
      <c r="X81" s="89"/>
      <c r="Z81" s="83" t="s">
        <v>96</v>
      </c>
      <c r="AA81" s="84" t="s">
        <v>97</v>
      </c>
      <c r="AB81" s="90">
        <v>207</v>
      </c>
      <c r="AC81" s="86">
        <v>1.3</v>
      </c>
      <c r="AD81" s="90" t="s">
        <v>98</v>
      </c>
      <c r="AE81" s="87"/>
      <c r="AF81" s="89"/>
    </row>
    <row r="82" spans="2:32" x14ac:dyDescent="0.3">
      <c r="B82" s="84" t="s">
        <v>109</v>
      </c>
      <c r="C82" s="84" t="s">
        <v>110</v>
      </c>
      <c r="D82" s="85">
        <v>143</v>
      </c>
      <c r="E82" s="85">
        <v>1.45</v>
      </c>
      <c r="F82" s="90" t="s">
        <v>111</v>
      </c>
      <c r="G82" s="87"/>
      <c r="H82" s="89"/>
      <c r="J82" s="106" t="s">
        <v>78</v>
      </c>
      <c r="K82" s="106" t="s">
        <v>79</v>
      </c>
      <c r="L82" s="107" t="s">
        <v>134</v>
      </c>
      <c r="M82" s="108">
        <v>1.2</v>
      </c>
      <c r="N82" s="109"/>
      <c r="O82" s="110"/>
      <c r="P82" s="111"/>
      <c r="R82" s="84" t="s">
        <v>109</v>
      </c>
      <c r="S82" s="84" t="s">
        <v>110</v>
      </c>
      <c r="T82" s="85">
        <v>143</v>
      </c>
      <c r="U82" s="85">
        <v>1.45</v>
      </c>
      <c r="V82" s="90" t="s">
        <v>111</v>
      </c>
      <c r="W82" s="87"/>
      <c r="X82" s="89"/>
      <c r="Z82" s="84" t="s">
        <v>109</v>
      </c>
      <c r="AA82" s="84" t="s">
        <v>110</v>
      </c>
      <c r="AB82" s="85">
        <v>143</v>
      </c>
      <c r="AC82" s="85">
        <v>1.45</v>
      </c>
      <c r="AD82" s="90" t="s">
        <v>111</v>
      </c>
      <c r="AE82" s="87"/>
      <c r="AF82" s="89"/>
    </row>
    <row r="83" spans="2:32" x14ac:dyDescent="0.3">
      <c r="B83" s="83" t="s">
        <v>84</v>
      </c>
      <c r="C83" s="84" t="s">
        <v>85</v>
      </c>
      <c r="D83" s="85">
        <v>203</v>
      </c>
      <c r="E83" s="85">
        <v>1.45</v>
      </c>
      <c r="F83" s="85" t="s">
        <v>86</v>
      </c>
      <c r="G83" s="87"/>
      <c r="H83" s="89"/>
      <c r="J83" s="112" t="s">
        <v>96</v>
      </c>
      <c r="K83" s="106" t="s">
        <v>97</v>
      </c>
      <c r="L83" s="109" t="s">
        <v>134</v>
      </c>
      <c r="M83" s="108">
        <v>1.3</v>
      </c>
      <c r="N83" s="109"/>
      <c r="O83" s="110"/>
      <c r="P83" s="114"/>
      <c r="R83" s="83" t="s">
        <v>84</v>
      </c>
      <c r="S83" s="84" t="s">
        <v>85</v>
      </c>
      <c r="T83" s="85">
        <v>203</v>
      </c>
      <c r="U83" s="85">
        <v>1.45</v>
      </c>
      <c r="V83" s="85" t="s">
        <v>86</v>
      </c>
      <c r="W83" s="87"/>
      <c r="X83" s="89"/>
      <c r="Z83" s="83" t="s">
        <v>84</v>
      </c>
      <c r="AA83" s="84" t="s">
        <v>85</v>
      </c>
      <c r="AB83" s="85">
        <v>203</v>
      </c>
      <c r="AC83" s="85">
        <v>1.45</v>
      </c>
      <c r="AD83" s="85" t="s">
        <v>86</v>
      </c>
      <c r="AE83" s="87"/>
      <c r="AF83" s="89"/>
    </row>
    <row r="84" spans="2:32" x14ac:dyDescent="0.3">
      <c r="B84" s="84"/>
      <c r="C84" s="84"/>
      <c r="D84" s="85"/>
      <c r="E84" s="86"/>
      <c r="F84" s="85"/>
      <c r="G84" s="87"/>
      <c r="H84" s="89"/>
      <c r="J84" s="84"/>
      <c r="K84" s="84"/>
      <c r="L84" s="85"/>
      <c r="M84" s="86"/>
      <c r="N84" s="85"/>
      <c r="O84" s="87"/>
      <c r="P84" s="89"/>
      <c r="R84" s="84"/>
      <c r="S84" s="84"/>
      <c r="T84" s="85"/>
      <c r="U84" s="86"/>
      <c r="V84" s="85"/>
      <c r="W84" s="87"/>
      <c r="X84" s="89"/>
      <c r="Z84" s="84"/>
      <c r="AA84" s="84"/>
      <c r="AB84" s="85"/>
      <c r="AC84" s="86"/>
      <c r="AD84" s="85"/>
      <c r="AE84" s="87"/>
      <c r="AF84" s="89"/>
    </row>
    <row r="85" spans="2:32" x14ac:dyDescent="0.3">
      <c r="B85" s="84"/>
      <c r="C85" s="84"/>
      <c r="D85" s="85"/>
      <c r="E85" s="86"/>
      <c r="F85" s="85"/>
      <c r="G85" s="87"/>
      <c r="H85" s="89"/>
      <c r="J85" s="84"/>
      <c r="K85" s="84"/>
      <c r="L85" s="85"/>
      <c r="M85" s="86"/>
      <c r="N85" s="85"/>
      <c r="O85" s="87"/>
      <c r="P85" s="89"/>
      <c r="R85" s="84"/>
      <c r="S85" s="84"/>
      <c r="T85" s="85"/>
      <c r="U85" s="86"/>
      <c r="V85" s="85"/>
      <c r="W85" s="87"/>
      <c r="X85" s="89"/>
      <c r="Z85" s="84"/>
      <c r="AA85" s="84"/>
      <c r="AB85" s="85"/>
      <c r="AC85" s="86"/>
      <c r="AD85" s="85"/>
      <c r="AE85" s="87"/>
      <c r="AF85" s="89"/>
    </row>
    <row r="86" spans="2:32" x14ac:dyDescent="0.3">
      <c r="B86" s="83"/>
      <c r="C86" s="83"/>
      <c r="D86" s="85"/>
      <c r="E86" s="85"/>
      <c r="F86" s="90"/>
      <c r="G86" s="87"/>
      <c r="H86" s="89"/>
      <c r="J86" s="83"/>
      <c r="K86" s="83"/>
      <c r="L86" s="85"/>
      <c r="M86" s="85"/>
      <c r="N86" s="90"/>
      <c r="O86" s="87"/>
      <c r="P86" s="89"/>
      <c r="R86" s="83"/>
      <c r="S86" s="83"/>
      <c r="T86" s="85"/>
      <c r="U86" s="85"/>
      <c r="V86" s="90"/>
      <c r="W86" s="87"/>
      <c r="X86" s="89"/>
      <c r="Z86" s="83"/>
      <c r="AA86" s="83"/>
      <c r="AB86" s="85"/>
      <c r="AC86" s="85"/>
      <c r="AD86" s="90"/>
      <c r="AE86" s="87"/>
      <c r="AF86" s="89"/>
    </row>
    <row r="87" spans="2:32" x14ac:dyDescent="0.3">
      <c r="B87" s="83"/>
      <c r="C87" s="83"/>
      <c r="D87" s="85"/>
      <c r="E87" s="85"/>
      <c r="F87" s="85"/>
      <c r="G87" s="87"/>
      <c r="H87" s="89"/>
      <c r="J87" s="83"/>
      <c r="K87" s="83"/>
      <c r="L87" s="85"/>
      <c r="M87" s="85"/>
      <c r="N87" s="85"/>
      <c r="O87" s="87"/>
      <c r="P87" s="89"/>
      <c r="R87" s="83"/>
      <c r="S87" s="83"/>
      <c r="T87" s="85"/>
      <c r="U87" s="85"/>
      <c r="V87" s="85"/>
      <c r="W87" s="87"/>
      <c r="X87" s="89"/>
      <c r="Z87" s="83"/>
      <c r="AA87" s="83"/>
      <c r="AB87" s="85"/>
      <c r="AC87" s="85"/>
      <c r="AD87" s="85"/>
      <c r="AE87" s="87"/>
      <c r="AF87" s="89"/>
    </row>
    <row r="88" spans="2:32" x14ac:dyDescent="0.3">
      <c r="B88" s="83"/>
      <c r="C88" s="83"/>
      <c r="D88" s="85"/>
      <c r="E88" s="85"/>
      <c r="F88" s="85"/>
      <c r="G88" s="87"/>
      <c r="H88" s="89"/>
      <c r="J88" s="83"/>
      <c r="K88" s="83"/>
      <c r="L88" s="85"/>
      <c r="M88" s="85"/>
      <c r="N88" s="85"/>
      <c r="O88" s="87"/>
      <c r="P88" s="89"/>
      <c r="R88" s="83"/>
      <c r="S88" s="83"/>
      <c r="T88" s="85"/>
      <c r="U88" s="85"/>
      <c r="V88" s="85"/>
      <c r="W88" s="87"/>
      <c r="X88" s="89"/>
      <c r="Z88" s="83"/>
      <c r="AA88" s="83"/>
      <c r="AB88" s="85"/>
      <c r="AC88" s="85"/>
      <c r="AD88" s="85"/>
      <c r="AE88" s="87"/>
      <c r="AF88" s="89"/>
    </row>
    <row r="89" spans="2:32" ht="15" thickBot="1" x14ac:dyDescent="0.35">
      <c r="B89" s="115"/>
      <c r="C89" s="115"/>
      <c r="D89" s="116"/>
      <c r="E89" s="116"/>
      <c r="F89" s="116"/>
      <c r="G89" s="117"/>
      <c r="H89" s="118"/>
      <c r="J89" s="115"/>
      <c r="K89" s="115"/>
      <c r="L89" s="116"/>
      <c r="M89" s="116"/>
      <c r="N89" s="116"/>
      <c r="O89" s="117"/>
      <c r="P89" s="118"/>
      <c r="R89" s="115"/>
      <c r="S89" s="115"/>
      <c r="T89" s="116"/>
      <c r="U89" s="116"/>
      <c r="V89" s="116"/>
      <c r="W89" s="117"/>
      <c r="X89" s="118"/>
      <c r="Z89" s="115"/>
      <c r="AA89" s="115"/>
      <c r="AB89" s="116"/>
      <c r="AC89" s="116"/>
      <c r="AD89" s="116"/>
      <c r="AE89" s="117"/>
      <c r="AF89" s="118"/>
    </row>
    <row r="90" spans="2:32" ht="15.6" x14ac:dyDescent="0.3">
      <c r="B90" s="207" t="s">
        <v>135</v>
      </c>
      <c r="C90" s="208"/>
      <c r="D90" s="208"/>
      <c r="E90" s="208"/>
      <c r="F90" s="208"/>
      <c r="G90" s="209">
        <v>46311</v>
      </c>
      <c r="H90" s="210"/>
      <c r="I90" s="64"/>
      <c r="J90" s="207" t="s">
        <v>135</v>
      </c>
      <c r="K90" s="208"/>
      <c r="L90" s="208"/>
      <c r="M90" s="208"/>
      <c r="N90" s="208"/>
      <c r="O90" s="209">
        <v>46318</v>
      </c>
      <c r="P90" s="210"/>
      <c r="Q90" s="64"/>
      <c r="R90" s="207" t="s">
        <v>135</v>
      </c>
      <c r="S90" s="208"/>
      <c r="T90" s="208"/>
      <c r="U90" s="208"/>
      <c r="V90" s="208"/>
      <c r="W90" s="209">
        <v>46325</v>
      </c>
      <c r="X90" s="210"/>
      <c r="Y90" s="64"/>
      <c r="Z90" s="207" t="s">
        <v>135</v>
      </c>
      <c r="AA90" s="208"/>
      <c r="AB90" s="208"/>
      <c r="AC90" s="208"/>
      <c r="AD90" s="208"/>
      <c r="AE90" s="209">
        <v>46332</v>
      </c>
      <c r="AF90" s="210"/>
    </row>
    <row r="91" spans="2:32" ht="15" thickBot="1" x14ac:dyDescent="0.35">
      <c r="B91" s="65" t="s">
        <v>12</v>
      </c>
      <c r="C91" s="65" t="s">
        <v>73</v>
      </c>
      <c r="D91" s="66" t="s">
        <v>29</v>
      </c>
      <c r="E91" s="66" t="s">
        <v>74</v>
      </c>
      <c r="F91" s="67" t="s">
        <v>75</v>
      </c>
      <c r="G91" s="68" t="s">
        <v>122</v>
      </c>
      <c r="H91" s="68" t="s">
        <v>77</v>
      </c>
      <c r="J91" s="65" t="s">
        <v>12</v>
      </c>
      <c r="K91" s="65" t="s">
        <v>73</v>
      </c>
      <c r="L91" s="66" t="s">
        <v>29</v>
      </c>
      <c r="M91" s="66" t="s">
        <v>74</v>
      </c>
      <c r="N91" s="67" t="s">
        <v>75</v>
      </c>
      <c r="O91" s="68" t="s">
        <v>122</v>
      </c>
      <c r="P91" s="68" t="s">
        <v>77</v>
      </c>
      <c r="R91" s="65" t="s">
        <v>12</v>
      </c>
      <c r="S91" s="65" t="s">
        <v>73</v>
      </c>
      <c r="T91" s="66" t="s">
        <v>29</v>
      </c>
      <c r="U91" s="66" t="s">
        <v>74</v>
      </c>
      <c r="V91" s="67" t="s">
        <v>75</v>
      </c>
      <c r="W91" s="68" t="s">
        <v>122</v>
      </c>
      <c r="X91" s="68" t="s">
        <v>77</v>
      </c>
      <c r="Z91" s="65" t="s">
        <v>12</v>
      </c>
      <c r="AA91" s="65" t="s">
        <v>73</v>
      </c>
      <c r="AB91" s="66" t="s">
        <v>29</v>
      </c>
      <c r="AC91" s="66" t="s">
        <v>74</v>
      </c>
      <c r="AD91" s="67" t="s">
        <v>75</v>
      </c>
      <c r="AE91" s="68" t="s">
        <v>122</v>
      </c>
      <c r="AF91" s="68" t="s">
        <v>77</v>
      </c>
    </row>
    <row r="92" spans="2:32" x14ac:dyDescent="0.3">
      <c r="B92" s="70" t="s">
        <v>78</v>
      </c>
      <c r="C92" s="70" t="s">
        <v>79</v>
      </c>
      <c r="D92" s="71">
        <v>353</v>
      </c>
      <c r="E92" s="72">
        <v>1.2</v>
      </c>
      <c r="F92" s="73" t="s">
        <v>40</v>
      </c>
      <c r="G92" s="74"/>
      <c r="H92" s="75" t="s">
        <v>80</v>
      </c>
      <c r="J92" s="76" t="s">
        <v>88</v>
      </c>
      <c r="K92" s="70" t="s">
        <v>93</v>
      </c>
      <c r="L92" s="73">
        <v>105</v>
      </c>
      <c r="M92" s="119">
        <v>1.3</v>
      </c>
      <c r="N92" s="71" t="s">
        <v>55</v>
      </c>
      <c r="O92" s="74"/>
      <c r="P92" s="120"/>
      <c r="R92" s="70" t="s">
        <v>78</v>
      </c>
      <c r="S92" s="70" t="s">
        <v>79</v>
      </c>
      <c r="T92" s="71">
        <v>251</v>
      </c>
      <c r="U92" s="72">
        <v>1.2</v>
      </c>
      <c r="V92" s="73" t="s">
        <v>40</v>
      </c>
      <c r="W92" s="74"/>
      <c r="X92" s="75" t="s">
        <v>80</v>
      </c>
      <c r="Z92" s="70" t="s">
        <v>78</v>
      </c>
      <c r="AA92" s="70" t="s">
        <v>79</v>
      </c>
      <c r="AB92" s="71">
        <v>251</v>
      </c>
      <c r="AC92" s="72">
        <v>1.2</v>
      </c>
      <c r="AD92" s="73" t="s">
        <v>40</v>
      </c>
      <c r="AE92" s="74"/>
      <c r="AF92" s="75" t="s">
        <v>80</v>
      </c>
    </row>
    <row r="93" spans="2:32" x14ac:dyDescent="0.3">
      <c r="B93" s="83" t="s">
        <v>81</v>
      </c>
      <c r="C93" s="84" t="s">
        <v>82</v>
      </c>
      <c r="D93" s="85">
        <v>202</v>
      </c>
      <c r="E93" s="86">
        <v>1.2</v>
      </c>
      <c r="F93" s="85" t="s">
        <v>40</v>
      </c>
      <c r="G93" s="87"/>
      <c r="H93" s="88" t="s">
        <v>80</v>
      </c>
      <c r="J93" s="83" t="s">
        <v>106</v>
      </c>
      <c r="K93" s="84" t="s">
        <v>107</v>
      </c>
      <c r="L93" s="85">
        <v>108</v>
      </c>
      <c r="M93" s="86">
        <v>2</v>
      </c>
      <c r="N93" s="85" t="s">
        <v>58</v>
      </c>
      <c r="O93" s="87"/>
      <c r="P93" s="89"/>
      <c r="R93" s="83" t="s">
        <v>81</v>
      </c>
      <c r="S93" s="84" t="s">
        <v>82</v>
      </c>
      <c r="T93" s="85" t="s">
        <v>87</v>
      </c>
      <c r="U93" s="86">
        <v>1.2</v>
      </c>
      <c r="V93" s="85" t="s">
        <v>40</v>
      </c>
      <c r="W93" s="87"/>
      <c r="X93" s="88" t="s">
        <v>80</v>
      </c>
      <c r="Z93" s="83" t="s">
        <v>81</v>
      </c>
      <c r="AA93" s="84" t="s">
        <v>82</v>
      </c>
      <c r="AB93" s="85" t="s">
        <v>87</v>
      </c>
      <c r="AC93" s="86">
        <v>1.2</v>
      </c>
      <c r="AD93" s="85" t="s">
        <v>40</v>
      </c>
      <c r="AE93" s="87"/>
      <c r="AF93" s="88" t="s">
        <v>80</v>
      </c>
    </row>
    <row r="94" spans="2:32" x14ac:dyDescent="0.3">
      <c r="B94" s="83" t="s">
        <v>88</v>
      </c>
      <c r="C94" s="84" t="s">
        <v>93</v>
      </c>
      <c r="D94" s="90">
        <v>105</v>
      </c>
      <c r="E94" s="91">
        <v>1.3</v>
      </c>
      <c r="F94" s="85" t="s">
        <v>55</v>
      </c>
      <c r="G94" s="87"/>
      <c r="H94" s="89"/>
      <c r="J94" s="84" t="s">
        <v>109</v>
      </c>
      <c r="K94" s="84" t="s">
        <v>110</v>
      </c>
      <c r="L94" s="85">
        <v>143</v>
      </c>
      <c r="M94" s="85">
        <v>1.45</v>
      </c>
      <c r="N94" s="90" t="s">
        <v>111</v>
      </c>
      <c r="O94" s="87"/>
      <c r="P94" s="89"/>
      <c r="R94" s="83" t="s">
        <v>88</v>
      </c>
      <c r="S94" s="84" t="s">
        <v>93</v>
      </c>
      <c r="T94" s="90">
        <v>105</v>
      </c>
      <c r="U94" s="91">
        <v>1.3</v>
      </c>
      <c r="V94" s="85" t="s">
        <v>55</v>
      </c>
      <c r="W94" s="87"/>
      <c r="X94" s="89"/>
      <c r="Z94" s="83" t="s">
        <v>88</v>
      </c>
      <c r="AA94" s="84" t="s">
        <v>93</v>
      </c>
      <c r="AB94" s="90">
        <v>105</v>
      </c>
      <c r="AC94" s="91">
        <v>1.3</v>
      </c>
      <c r="AD94" s="85" t="s">
        <v>55</v>
      </c>
      <c r="AE94" s="87"/>
      <c r="AF94" s="89"/>
    </row>
    <row r="95" spans="2:32" x14ac:dyDescent="0.3">
      <c r="B95" s="83" t="s">
        <v>94</v>
      </c>
      <c r="C95" s="84" t="s">
        <v>95</v>
      </c>
      <c r="D95" s="85">
        <v>401</v>
      </c>
      <c r="E95" s="86">
        <v>3</v>
      </c>
      <c r="F95" s="85" t="s">
        <v>99</v>
      </c>
      <c r="G95" s="87"/>
      <c r="H95" s="89"/>
      <c r="J95" s="83" t="s">
        <v>96</v>
      </c>
      <c r="K95" s="84" t="s">
        <v>97</v>
      </c>
      <c r="L95" s="90">
        <v>207</v>
      </c>
      <c r="M95" s="86">
        <v>1.3</v>
      </c>
      <c r="N95" s="90" t="s">
        <v>98</v>
      </c>
      <c r="O95" s="87"/>
      <c r="P95" s="89"/>
      <c r="R95" s="83" t="s">
        <v>94</v>
      </c>
      <c r="S95" s="84" t="s">
        <v>95</v>
      </c>
      <c r="T95" s="85">
        <v>401</v>
      </c>
      <c r="U95" s="86">
        <v>3</v>
      </c>
      <c r="V95" s="85" t="s">
        <v>99</v>
      </c>
      <c r="W95" s="87"/>
      <c r="X95" s="89"/>
      <c r="Z95" s="83" t="s">
        <v>94</v>
      </c>
      <c r="AA95" s="84" t="s">
        <v>95</v>
      </c>
      <c r="AB95" s="85">
        <v>401</v>
      </c>
      <c r="AC95" s="86">
        <v>3</v>
      </c>
      <c r="AD95" s="85" t="s">
        <v>99</v>
      </c>
      <c r="AE95" s="87"/>
      <c r="AF95" s="89"/>
    </row>
    <row r="96" spans="2:32" x14ac:dyDescent="0.3">
      <c r="B96" s="83" t="s">
        <v>100</v>
      </c>
      <c r="C96" s="84" t="s">
        <v>101</v>
      </c>
      <c r="D96" s="85">
        <v>211</v>
      </c>
      <c r="E96" s="86">
        <v>2</v>
      </c>
      <c r="F96" s="90" t="s">
        <v>48</v>
      </c>
      <c r="G96" s="87"/>
      <c r="H96" s="88" t="s">
        <v>102</v>
      </c>
      <c r="J96" s="84" t="s">
        <v>103</v>
      </c>
      <c r="K96" s="84" t="s">
        <v>104</v>
      </c>
      <c r="L96" s="85">
        <v>208</v>
      </c>
      <c r="M96" s="86">
        <v>2</v>
      </c>
      <c r="N96" s="90" t="s">
        <v>123</v>
      </c>
      <c r="O96" s="87"/>
      <c r="P96" s="88"/>
      <c r="R96" s="83" t="s">
        <v>100</v>
      </c>
      <c r="S96" s="84" t="s">
        <v>101</v>
      </c>
      <c r="T96" s="85">
        <v>211</v>
      </c>
      <c r="U96" s="86">
        <v>2</v>
      </c>
      <c r="V96" s="90" t="s">
        <v>48</v>
      </c>
      <c r="W96" s="87"/>
      <c r="X96" s="88" t="s">
        <v>105</v>
      </c>
      <c r="Z96" s="83" t="s">
        <v>100</v>
      </c>
      <c r="AA96" s="84" t="s">
        <v>101</v>
      </c>
      <c r="AB96" s="85">
        <v>211</v>
      </c>
      <c r="AC96" s="86">
        <v>2</v>
      </c>
      <c r="AD96" s="90" t="s">
        <v>48</v>
      </c>
      <c r="AE96" s="87"/>
      <c r="AF96" s="88" t="s">
        <v>102</v>
      </c>
    </row>
    <row r="97" spans="2:32" x14ac:dyDescent="0.3">
      <c r="B97" s="83" t="s">
        <v>91</v>
      </c>
      <c r="C97" s="84" t="s">
        <v>92</v>
      </c>
      <c r="D97" s="85">
        <v>205</v>
      </c>
      <c r="E97" s="86">
        <v>1.3</v>
      </c>
      <c r="F97" s="85" t="s">
        <v>46</v>
      </c>
      <c r="G97" s="87"/>
      <c r="H97" s="89"/>
      <c r="J97" s="83" t="s">
        <v>100</v>
      </c>
      <c r="K97" s="84" t="s">
        <v>101</v>
      </c>
      <c r="L97" s="85">
        <v>211</v>
      </c>
      <c r="M97" s="86">
        <v>2</v>
      </c>
      <c r="N97" s="90" t="s">
        <v>48</v>
      </c>
      <c r="O97" s="87"/>
      <c r="P97" s="88" t="s">
        <v>124</v>
      </c>
      <c r="R97" s="83" t="s">
        <v>91</v>
      </c>
      <c r="S97" s="84" t="s">
        <v>92</v>
      </c>
      <c r="T97" s="85">
        <v>205</v>
      </c>
      <c r="U97" s="86">
        <v>1.3</v>
      </c>
      <c r="V97" s="85" t="s">
        <v>46</v>
      </c>
      <c r="W97" s="87"/>
      <c r="X97" s="89"/>
      <c r="Z97" s="83" t="s">
        <v>91</v>
      </c>
      <c r="AA97" s="84" t="s">
        <v>92</v>
      </c>
      <c r="AB97" s="85">
        <v>205</v>
      </c>
      <c r="AC97" s="86">
        <v>1.3</v>
      </c>
      <c r="AD97" s="85" t="s">
        <v>46</v>
      </c>
      <c r="AE97" s="87"/>
      <c r="AF97" s="89"/>
    </row>
    <row r="98" spans="2:32" x14ac:dyDescent="0.3">
      <c r="B98" s="83" t="s">
        <v>106</v>
      </c>
      <c r="C98" s="84" t="s">
        <v>107</v>
      </c>
      <c r="D98" s="85">
        <v>208</v>
      </c>
      <c r="E98" s="86">
        <v>2</v>
      </c>
      <c r="F98" s="85" t="s">
        <v>58</v>
      </c>
      <c r="G98" s="87"/>
      <c r="H98" s="89"/>
      <c r="J98" s="84" t="s">
        <v>112</v>
      </c>
      <c r="K98" s="84" t="s">
        <v>113</v>
      </c>
      <c r="L98" s="85">
        <v>243</v>
      </c>
      <c r="M98" s="86">
        <v>1.1000000000000001</v>
      </c>
      <c r="N98" s="90" t="s">
        <v>114</v>
      </c>
      <c r="O98" s="87"/>
      <c r="P98" s="89"/>
      <c r="R98" s="83" t="s">
        <v>106</v>
      </c>
      <c r="S98" s="84" t="s">
        <v>107</v>
      </c>
      <c r="T98" s="85">
        <v>208</v>
      </c>
      <c r="U98" s="86">
        <v>2</v>
      </c>
      <c r="V98" s="85" t="s">
        <v>58</v>
      </c>
      <c r="W98" s="87"/>
      <c r="X98" s="89"/>
      <c r="Z98" s="83" t="s">
        <v>106</v>
      </c>
      <c r="AA98" s="84" t="s">
        <v>107</v>
      </c>
      <c r="AB98" s="85">
        <v>208</v>
      </c>
      <c r="AC98" s="86">
        <v>2</v>
      </c>
      <c r="AD98" s="85" t="s">
        <v>58</v>
      </c>
      <c r="AE98" s="87"/>
      <c r="AF98" s="89"/>
    </row>
    <row r="99" spans="2:32" x14ac:dyDescent="0.3">
      <c r="B99" s="84" t="s">
        <v>112</v>
      </c>
      <c r="C99" s="84" t="s">
        <v>113</v>
      </c>
      <c r="D99" s="85">
        <v>243</v>
      </c>
      <c r="E99" s="86">
        <v>1.1000000000000001</v>
      </c>
      <c r="F99" s="90" t="s">
        <v>114</v>
      </c>
      <c r="G99" s="87"/>
      <c r="H99" s="89"/>
      <c r="J99" s="83" t="s">
        <v>94</v>
      </c>
      <c r="K99" s="84" t="s">
        <v>95</v>
      </c>
      <c r="L99" s="85">
        <v>401</v>
      </c>
      <c r="M99" s="86">
        <v>3</v>
      </c>
      <c r="N99" s="85" t="s">
        <v>99</v>
      </c>
      <c r="O99" s="87"/>
      <c r="P99" s="89"/>
      <c r="R99" s="84" t="s">
        <v>112</v>
      </c>
      <c r="S99" s="84" t="s">
        <v>113</v>
      </c>
      <c r="T99" s="85">
        <v>243</v>
      </c>
      <c r="U99" s="86">
        <v>1.1000000000000001</v>
      </c>
      <c r="V99" s="90" t="s">
        <v>114</v>
      </c>
      <c r="W99" s="87"/>
      <c r="X99" s="89"/>
      <c r="Z99" s="84" t="s">
        <v>112</v>
      </c>
      <c r="AA99" s="84" t="s">
        <v>113</v>
      </c>
      <c r="AB99" s="85">
        <v>243</v>
      </c>
      <c r="AC99" s="86">
        <v>1.1000000000000001</v>
      </c>
      <c r="AD99" s="90" t="s">
        <v>114</v>
      </c>
      <c r="AE99" s="87"/>
      <c r="AF99" s="89"/>
    </row>
    <row r="100" spans="2:32" x14ac:dyDescent="0.3">
      <c r="B100" s="84" t="s">
        <v>116</v>
      </c>
      <c r="C100" s="84" t="s">
        <v>89</v>
      </c>
      <c r="D100" s="85">
        <v>593</v>
      </c>
      <c r="E100" s="86">
        <v>3</v>
      </c>
      <c r="F100" s="90" t="s">
        <v>117</v>
      </c>
      <c r="G100" s="87"/>
      <c r="H100" s="88" t="s">
        <v>80</v>
      </c>
      <c r="J100" s="84" t="s">
        <v>118</v>
      </c>
      <c r="K100" s="84" t="s">
        <v>66</v>
      </c>
      <c r="L100" s="85">
        <v>587</v>
      </c>
      <c r="M100" s="86">
        <v>3</v>
      </c>
      <c r="N100" s="90" t="s">
        <v>119</v>
      </c>
      <c r="O100" s="87"/>
      <c r="P100" s="88" t="s">
        <v>80</v>
      </c>
      <c r="R100" s="84" t="s">
        <v>116</v>
      </c>
      <c r="S100" s="84" t="s">
        <v>89</v>
      </c>
      <c r="T100" s="85">
        <v>593</v>
      </c>
      <c r="U100" s="86">
        <v>3</v>
      </c>
      <c r="V100" s="90" t="s">
        <v>117</v>
      </c>
      <c r="W100" s="87"/>
      <c r="X100" s="88" t="s">
        <v>80</v>
      </c>
      <c r="Z100" s="84" t="s">
        <v>116</v>
      </c>
      <c r="AA100" s="84" t="s">
        <v>89</v>
      </c>
      <c r="AB100" s="85">
        <v>593</v>
      </c>
      <c r="AC100" s="86">
        <v>3</v>
      </c>
      <c r="AD100" s="90" t="s">
        <v>117</v>
      </c>
      <c r="AE100" s="87"/>
      <c r="AF100" s="88" t="s">
        <v>80</v>
      </c>
    </row>
    <row r="101" spans="2:32" x14ac:dyDescent="0.3">
      <c r="B101" s="84" t="s">
        <v>118</v>
      </c>
      <c r="C101" s="84" t="s">
        <v>66</v>
      </c>
      <c r="D101" s="85">
        <v>587</v>
      </c>
      <c r="E101" s="86">
        <v>3</v>
      </c>
      <c r="F101" s="90" t="s">
        <v>119</v>
      </c>
      <c r="G101" s="87"/>
      <c r="H101" s="88" t="s">
        <v>80</v>
      </c>
      <c r="J101" s="84" t="s">
        <v>116</v>
      </c>
      <c r="K101" s="84" t="s">
        <v>89</v>
      </c>
      <c r="L101" s="85">
        <v>593</v>
      </c>
      <c r="M101" s="86">
        <v>3</v>
      </c>
      <c r="N101" s="90" t="s">
        <v>117</v>
      </c>
      <c r="O101" s="87"/>
      <c r="P101" s="88" t="s">
        <v>80</v>
      </c>
      <c r="R101" s="84" t="s">
        <v>118</v>
      </c>
      <c r="S101" s="84" t="s">
        <v>66</v>
      </c>
      <c r="T101" s="85">
        <v>587</v>
      </c>
      <c r="U101" s="86">
        <v>3</v>
      </c>
      <c r="V101" s="90" t="s">
        <v>119</v>
      </c>
      <c r="W101" s="87"/>
      <c r="X101" s="88" t="s">
        <v>80</v>
      </c>
      <c r="Z101" s="84" t="s">
        <v>118</v>
      </c>
      <c r="AA101" s="84" t="s">
        <v>66</v>
      </c>
      <c r="AB101" s="85">
        <v>587</v>
      </c>
      <c r="AC101" s="86">
        <v>3</v>
      </c>
      <c r="AD101" s="90" t="s">
        <v>119</v>
      </c>
      <c r="AE101" s="87"/>
      <c r="AF101" s="88" t="s">
        <v>80</v>
      </c>
    </row>
    <row r="102" spans="2:32" x14ac:dyDescent="0.3">
      <c r="B102" s="84" t="s">
        <v>103</v>
      </c>
      <c r="C102" s="84" t="s">
        <v>104</v>
      </c>
      <c r="D102" s="85">
        <v>108</v>
      </c>
      <c r="E102" s="86">
        <v>2</v>
      </c>
      <c r="F102" s="90" t="s">
        <v>123</v>
      </c>
      <c r="G102" s="87"/>
      <c r="H102" s="88"/>
      <c r="J102" s="83" t="s">
        <v>81</v>
      </c>
      <c r="K102" s="84" t="s">
        <v>82</v>
      </c>
      <c r="L102" s="85">
        <v>596</v>
      </c>
      <c r="M102" s="86">
        <v>1.2</v>
      </c>
      <c r="N102" s="85" t="s">
        <v>40</v>
      </c>
      <c r="O102" s="87"/>
      <c r="P102" s="88" t="s">
        <v>136</v>
      </c>
      <c r="R102" s="84" t="s">
        <v>103</v>
      </c>
      <c r="S102" s="84" t="s">
        <v>104</v>
      </c>
      <c r="T102" s="85">
        <v>108</v>
      </c>
      <c r="U102" s="86">
        <v>2</v>
      </c>
      <c r="V102" s="90" t="s">
        <v>123</v>
      </c>
      <c r="W102" s="87"/>
      <c r="X102" s="88"/>
      <c r="Z102" s="84" t="s">
        <v>103</v>
      </c>
      <c r="AA102" s="84" t="s">
        <v>104</v>
      </c>
      <c r="AB102" s="85">
        <v>108</v>
      </c>
      <c r="AC102" s="86">
        <v>2</v>
      </c>
      <c r="AD102" s="90" t="s">
        <v>123</v>
      </c>
      <c r="AE102" s="87"/>
      <c r="AF102" s="88"/>
    </row>
    <row r="103" spans="2:32" x14ac:dyDescent="0.3">
      <c r="B103" s="83" t="s">
        <v>96</v>
      </c>
      <c r="C103" s="84" t="s">
        <v>97</v>
      </c>
      <c r="D103" s="90">
        <v>207</v>
      </c>
      <c r="E103" s="86">
        <v>1.3</v>
      </c>
      <c r="F103" s="90" t="s">
        <v>98</v>
      </c>
      <c r="G103" s="87"/>
      <c r="H103" s="89"/>
      <c r="J103" s="106" t="s">
        <v>78</v>
      </c>
      <c r="K103" s="106" t="s">
        <v>79</v>
      </c>
      <c r="L103" s="107" t="s">
        <v>90</v>
      </c>
      <c r="M103" s="108">
        <v>1.2</v>
      </c>
      <c r="N103" s="109"/>
      <c r="O103" s="110"/>
      <c r="P103" s="111"/>
      <c r="R103" s="83" t="s">
        <v>96</v>
      </c>
      <c r="S103" s="84" t="s">
        <v>97</v>
      </c>
      <c r="T103" s="90">
        <v>207</v>
      </c>
      <c r="U103" s="86">
        <v>1.3</v>
      </c>
      <c r="V103" s="90" t="s">
        <v>98</v>
      </c>
      <c r="W103" s="87"/>
      <c r="X103" s="89"/>
      <c r="Z103" s="83" t="s">
        <v>96</v>
      </c>
      <c r="AA103" s="84" t="s">
        <v>97</v>
      </c>
      <c r="AB103" s="90">
        <v>207</v>
      </c>
      <c r="AC103" s="86">
        <v>1.3</v>
      </c>
      <c r="AD103" s="90" t="s">
        <v>98</v>
      </c>
      <c r="AE103" s="87"/>
      <c r="AF103" s="89"/>
    </row>
    <row r="104" spans="2:32" x14ac:dyDescent="0.3">
      <c r="B104" s="84" t="s">
        <v>109</v>
      </c>
      <c r="C104" s="84" t="s">
        <v>110</v>
      </c>
      <c r="D104" s="85">
        <v>143</v>
      </c>
      <c r="E104" s="85">
        <v>1.45</v>
      </c>
      <c r="F104" s="90" t="s">
        <v>111</v>
      </c>
      <c r="G104" s="87"/>
      <c r="H104" s="89"/>
      <c r="J104" s="112" t="s">
        <v>91</v>
      </c>
      <c r="K104" s="106" t="s">
        <v>92</v>
      </c>
      <c r="L104" s="107" t="s">
        <v>90</v>
      </c>
      <c r="M104" s="108">
        <v>1.3</v>
      </c>
      <c r="N104" s="107"/>
      <c r="O104" s="110"/>
      <c r="P104" s="114"/>
      <c r="R104" s="84" t="s">
        <v>109</v>
      </c>
      <c r="S104" s="84" t="s">
        <v>110</v>
      </c>
      <c r="T104" s="85">
        <v>143</v>
      </c>
      <c r="U104" s="85">
        <v>1.45</v>
      </c>
      <c r="V104" s="90" t="s">
        <v>111</v>
      </c>
      <c r="W104" s="87"/>
      <c r="X104" s="89"/>
      <c r="Z104" s="84" t="s">
        <v>109</v>
      </c>
      <c r="AA104" s="84" t="s">
        <v>110</v>
      </c>
      <c r="AB104" s="85">
        <v>143</v>
      </c>
      <c r="AC104" s="85">
        <v>1.45</v>
      </c>
      <c r="AD104" s="90" t="s">
        <v>111</v>
      </c>
      <c r="AE104" s="87"/>
      <c r="AF104" s="89"/>
    </row>
    <row r="105" spans="2:32" x14ac:dyDescent="0.3">
      <c r="B105" s="83" t="s">
        <v>84</v>
      </c>
      <c r="C105" s="84" t="s">
        <v>85</v>
      </c>
      <c r="D105" s="85">
        <v>203</v>
      </c>
      <c r="E105" s="85">
        <v>1.45</v>
      </c>
      <c r="F105" s="85" t="s">
        <v>86</v>
      </c>
      <c r="G105" s="87"/>
      <c r="H105" s="89"/>
      <c r="J105" s="112" t="s">
        <v>84</v>
      </c>
      <c r="K105" s="106" t="s">
        <v>85</v>
      </c>
      <c r="L105" s="107" t="s">
        <v>90</v>
      </c>
      <c r="M105" s="107">
        <v>1.45</v>
      </c>
      <c r="N105" s="107"/>
      <c r="O105" s="110"/>
      <c r="P105" s="114"/>
      <c r="R105" s="83" t="s">
        <v>84</v>
      </c>
      <c r="S105" s="84" t="s">
        <v>85</v>
      </c>
      <c r="T105" s="85">
        <v>203</v>
      </c>
      <c r="U105" s="85">
        <v>1.45</v>
      </c>
      <c r="V105" s="85" t="s">
        <v>86</v>
      </c>
      <c r="W105" s="87"/>
      <c r="X105" s="89"/>
      <c r="Z105" s="83" t="s">
        <v>84</v>
      </c>
      <c r="AA105" s="84" t="s">
        <v>85</v>
      </c>
      <c r="AB105" s="85">
        <v>203</v>
      </c>
      <c r="AC105" s="85">
        <v>1.45</v>
      </c>
      <c r="AD105" s="85" t="s">
        <v>86</v>
      </c>
      <c r="AE105" s="87"/>
      <c r="AF105" s="89"/>
    </row>
    <row r="106" spans="2:32" x14ac:dyDescent="0.3">
      <c r="B106" s="84"/>
      <c r="C106" s="84"/>
      <c r="D106" s="85"/>
      <c r="E106" s="86"/>
      <c r="F106" s="85"/>
      <c r="G106" s="87"/>
      <c r="H106" s="89"/>
      <c r="J106" s="84"/>
      <c r="K106" s="84"/>
      <c r="L106" s="85"/>
      <c r="M106" s="86"/>
      <c r="N106" s="85"/>
      <c r="O106" s="87"/>
      <c r="P106" s="89"/>
      <c r="R106" s="84"/>
      <c r="S106" s="84"/>
      <c r="T106" s="85"/>
      <c r="U106" s="86"/>
      <c r="V106" s="85"/>
      <c r="W106" s="87"/>
      <c r="X106" s="89"/>
      <c r="Z106" s="84"/>
      <c r="AA106" s="84"/>
      <c r="AB106" s="85"/>
      <c r="AC106" s="86"/>
      <c r="AD106" s="85"/>
      <c r="AE106" s="87"/>
      <c r="AF106" s="89"/>
    </row>
    <row r="107" spans="2:32" x14ac:dyDescent="0.3">
      <c r="B107" s="84"/>
      <c r="C107" s="84"/>
      <c r="D107" s="85"/>
      <c r="E107" s="86"/>
      <c r="F107" s="85"/>
      <c r="G107" s="87"/>
      <c r="H107" s="89"/>
      <c r="J107" s="84"/>
      <c r="K107" s="84"/>
      <c r="L107" s="85"/>
      <c r="M107" s="86"/>
      <c r="N107" s="85"/>
      <c r="O107" s="87"/>
      <c r="P107" s="89"/>
      <c r="R107" s="84"/>
      <c r="S107" s="84"/>
      <c r="T107" s="85"/>
      <c r="U107" s="86"/>
      <c r="V107" s="85"/>
      <c r="W107" s="87"/>
      <c r="X107" s="89"/>
      <c r="Z107" s="84"/>
      <c r="AA107" s="84"/>
      <c r="AB107" s="85"/>
      <c r="AC107" s="86"/>
      <c r="AD107" s="85"/>
      <c r="AE107" s="87"/>
      <c r="AF107" s="89"/>
    </row>
    <row r="108" spans="2:32" x14ac:dyDescent="0.3">
      <c r="B108" s="83"/>
      <c r="C108" s="83"/>
      <c r="D108" s="85"/>
      <c r="E108" s="85"/>
      <c r="F108" s="90"/>
      <c r="G108" s="87"/>
      <c r="H108" s="89"/>
      <c r="J108" s="83"/>
      <c r="K108" s="83"/>
      <c r="L108" s="85"/>
      <c r="M108" s="85"/>
      <c r="N108" s="90"/>
      <c r="O108" s="87"/>
      <c r="P108" s="89"/>
      <c r="R108" s="83"/>
      <c r="S108" s="83"/>
      <c r="T108" s="85"/>
      <c r="U108" s="85"/>
      <c r="V108" s="90"/>
      <c r="W108" s="87"/>
      <c r="X108" s="89"/>
      <c r="Z108" s="83"/>
      <c r="AA108" s="83"/>
      <c r="AB108" s="85"/>
      <c r="AC108" s="85"/>
      <c r="AD108" s="90"/>
      <c r="AE108" s="87"/>
      <c r="AF108" s="89"/>
    </row>
    <row r="109" spans="2:32" x14ac:dyDescent="0.3">
      <c r="B109" s="83"/>
      <c r="C109" s="83"/>
      <c r="D109" s="85"/>
      <c r="E109" s="85"/>
      <c r="F109" s="85"/>
      <c r="G109" s="87"/>
      <c r="H109" s="89"/>
      <c r="J109" s="83"/>
      <c r="K109" s="83"/>
      <c r="L109" s="85"/>
      <c r="M109" s="85"/>
      <c r="N109" s="85"/>
      <c r="O109" s="87"/>
      <c r="P109" s="89"/>
      <c r="R109" s="83"/>
      <c r="S109" s="83"/>
      <c r="T109" s="85"/>
      <c r="U109" s="85"/>
      <c r="V109" s="85"/>
      <c r="W109" s="87"/>
      <c r="X109" s="89"/>
      <c r="Z109" s="83"/>
      <c r="AA109" s="83"/>
      <c r="AB109" s="85"/>
      <c r="AC109" s="85"/>
      <c r="AD109" s="85"/>
      <c r="AE109" s="87"/>
      <c r="AF109" s="89"/>
    </row>
    <row r="110" spans="2:32" x14ac:dyDescent="0.3">
      <c r="B110" s="83"/>
      <c r="C110" s="83"/>
      <c r="D110" s="85"/>
      <c r="E110" s="85"/>
      <c r="F110" s="85"/>
      <c r="G110" s="87"/>
      <c r="H110" s="89"/>
      <c r="J110" s="83"/>
      <c r="K110" s="83"/>
      <c r="L110" s="85"/>
      <c r="M110" s="85"/>
      <c r="N110" s="85"/>
      <c r="O110" s="87"/>
      <c r="P110" s="89"/>
      <c r="R110" s="83"/>
      <c r="S110" s="83"/>
      <c r="T110" s="85"/>
      <c r="U110" s="85"/>
      <c r="V110" s="85"/>
      <c r="W110" s="87"/>
      <c r="X110" s="89"/>
      <c r="Z110" s="83"/>
      <c r="AA110" s="83"/>
      <c r="AB110" s="85"/>
      <c r="AC110" s="85"/>
      <c r="AD110" s="85"/>
      <c r="AE110" s="87"/>
      <c r="AF110" s="89"/>
    </row>
    <row r="111" spans="2:32" ht="15" thickBot="1" x14ac:dyDescent="0.35">
      <c r="B111" s="115"/>
      <c r="C111" s="115"/>
      <c r="D111" s="116"/>
      <c r="E111" s="116"/>
      <c r="F111" s="116"/>
      <c r="G111" s="117"/>
      <c r="H111" s="118"/>
      <c r="J111" s="115"/>
      <c r="K111" s="115"/>
      <c r="L111" s="116"/>
      <c r="M111" s="116"/>
      <c r="N111" s="116"/>
      <c r="O111" s="117"/>
      <c r="P111" s="118"/>
      <c r="R111" s="115"/>
      <c r="S111" s="115"/>
      <c r="T111" s="116"/>
      <c r="U111" s="116"/>
      <c r="V111" s="116"/>
      <c r="W111" s="117"/>
      <c r="X111" s="118"/>
      <c r="Z111" s="115"/>
      <c r="AA111" s="115"/>
      <c r="AB111" s="116"/>
      <c r="AC111" s="116"/>
      <c r="AD111" s="116"/>
      <c r="AE111" s="117"/>
      <c r="AF111" s="118"/>
    </row>
    <row r="112" spans="2:32" ht="15.6" x14ac:dyDescent="0.3">
      <c r="B112" s="211" t="s">
        <v>137</v>
      </c>
      <c r="C112" s="212"/>
      <c r="D112" s="212"/>
      <c r="E112" s="212"/>
      <c r="F112" s="212"/>
      <c r="G112" s="213">
        <v>46312</v>
      </c>
      <c r="H112" s="214"/>
      <c r="I112" s="64"/>
      <c r="J112" s="211" t="s">
        <v>137</v>
      </c>
      <c r="K112" s="212"/>
      <c r="L112" s="212"/>
      <c r="M112" s="212"/>
      <c r="N112" s="212"/>
      <c r="O112" s="213">
        <v>46319</v>
      </c>
      <c r="P112" s="214"/>
      <c r="Q112" s="64"/>
      <c r="R112" s="211" t="s">
        <v>137</v>
      </c>
      <c r="S112" s="212"/>
      <c r="T112" s="212"/>
      <c r="U112" s="212"/>
      <c r="V112" s="212"/>
      <c r="W112" s="213">
        <v>46326</v>
      </c>
      <c r="X112" s="214"/>
      <c r="Y112" s="64"/>
      <c r="Z112" s="211" t="s">
        <v>137</v>
      </c>
      <c r="AA112" s="212"/>
      <c r="AB112" s="212"/>
      <c r="AC112" s="212"/>
      <c r="AD112" s="212"/>
      <c r="AE112" s="213">
        <v>46333</v>
      </c>
      <c r="AF112" s="214"/>
    </row>
    <row r="113" spans="2:32" ht="15" thickBot="1" x14ac:dyDescent="0.35">
      <c r="B113" s="65" t="s">
        <v>12</v>
      </c>
      <c r="C113" s="65" t="s">
        <v>73</v>
      </c>
      <c r="D113" s="66" t="s">
        <v>29</v>
      </c>
      <c r="E113" s="66" t="s">
        <v>74</v>
      </c>
      <c r="F113" s="67" t="s">
        <v>75</v>
      </c>
      <c r="G113" s="68" t="s">
        <v>122</v>
      </c>
      <c r="H113" s="69" t="s">
        <v>77</v>
      </c>
      <c r="J113" s="65" t="s">
        <v>12</v>
      </c>
      <c r="K113" s="65" t="s">
        <v>73</v>
      </c>
      <c r="L113" s="66" t="s">
        <v>29</v>
      </c>
      <c r="M113" s="66" t="s">
        <v>74</v>
      </c>
      <c r="N113" s="67" t="s">
        <v>75</v>
      </c>
      <c r="O113" s="68" t="s">
        <v>122</v>
      </c>
      <c r="P113" s="69" t="s">
        <v>77</v>
      </c>
      <c r="R113" s="65" t="s">
        <v>12</v>
      </c>
      <c r="S113" s="65" t="s">
        <v>73</v>
      </c>
      <c r="T113" s="66" t="s">
        <v>29</v>
      </c>
      <c r="U113" s="66" t="s">
        <v>74</v>
      </c>
      <c r="V113" s="67" t="s">
        <v>75</v>
      </c>
      <c r="W113" s="68" t="s">
        <v>122</v>
      </c>
      <c r="X113" s="69" t="s">
        <v>77</v>
      </c>
      <c r="Z113" s="65" t="s">
        <v>12</v>
      </c>
      <c r="AA113" s="65" t="s">
        <v>73</v>
      </c>
      <c r="AB113" s="66" t="s">
        <v>29</v>
      </c>
      <c r="AC113" s="66" t="s">
        <v>74</v>
      </c>
      <c r="AD113" s="67" t="s">
        <v>75</v>
      </c>
      <c r="AE113" s="68" t="s">
        <v>122</v>
      </c>
      <c r="AF113" s="69" t="s">
        <v>77</v>
      </c>
    </row>
    <row r="114" spans="2:32" x14ac:dyDescent="0.3">
      <c r="B114" s="76" t="s">
        <v>88</v>
      </c>
      <c r="C114" s="70" t="s">
        <v>93</v>
      </c>
      <c r="D114" s="73">
        <v>705</v>
      </c>
      <c r="E114" s="119">
        <v>1.3</v>
      </c>
      <c r="F114" s="71" t="s">
        <v>55</v>
      </c>
      <c r="G114" s="74"/>
      <c r="H114" s="120"/>
      <c r="J114" s="76" t="s">
        <v>88</v>
      </c>
      <c r="K114" s="70" t="s">
        <v>93</v>
      </c>
      <c r="L114" s="73">
        <v>705</v>
      </c>
      <c r="M114" s="119">
        <v>1.3</v>
      </c>
      <c r="N114" s="71" t="s">
        <v>55</v>
      </c>
      <c r="O114" s="74"/>
      <c r="P114" s="120"/>
      <c r="R114" s="70" t="s">
        <v>78</v>
      </c>
      <c r="S114" s="70" t="s">
        <v>79</v>
      </c>
      <c r="T114" s="71" t="s">
        <v>90</v>
      </c>
      <c r="U114" s="72">
        <v>1.2</v>
      </c>
      <c r="V114" s="73"/>
      <c r="W114" s="74"/>
      <c r="X114" s="75"/>
      <c r="Z114" s="70" t="s">
        <v>78</v>
      </c>
      <c r="AA114" s="70" t="s">
        <v>79</v>
      </c>
      <c r="AB114" s="71" t="s">
        <v>90</v>
      </c>
      <c r="AC114" s="72">
        <v>1.2</v>
      </c>
      <c r="AD114" s="73"/>
      <c r="AE114" s="74"/>
      <c r="AF114" s="75"/>
    </row>
    <row r="115" spans="2:32" x14ac:dyDescent="0.3">
      <c r="B115" s="83" t="s">
        <v>96</v>
      </c>
      <c r="C115" s="84" t="s">
        <v>97</v>
      </c>
      <c r="D115" s="90">
        <v>802</v>
      </c>
      <c r="E115" s="86">
        <v>1.3</v>
      </c>
      <c r="F115" s="90" t="s">
        <v>98</v>
      </c>
      <c r="G115" s="87"/>
      <c r="H115" s="89"/>
      <c r="J115" s="84" t="s">
        <v>116</v>
      </c>
      <c r="K115" s="84" t="s">
        <v>89</v>
      </c>
      <c r="L115" s="85">
        <v>802</v>
      </c>
      <c r="M115" s="86">
        <v>2.2999999999999998</v>
      </c>
      <c r="N115" s="90" t="s">
        <v>98</v>
      </c>
      <c r="O115" s="87"/>
      <c r="P115" s="88"/>
      <c r="R115" s="83" t="s">
        <v>81</v>
      </c>
      <c r="S115" s="84" t="s">
        <v>82</v>
      </c>
      <c r="T115" s="85" t="s">
        <v>90</v>
      </c>
      <c r="U115" s="86">
        <v>1.2</v>
      </c>
      <c r="V115" s="85"/>
      <c r="W115" s="87"/>
      <c r="X115" s="88"/>
      <c r="Z115" s="83" t="s">
        <v>81</v>
      </c>
      <c r="AA115" s="84" t="s">
        <v>82</v>
      </c>
      <c r="AB115" s="85" t="s">
        <v>90</v>
      </c>
      <c r="AC115" s="86">
        <v>1.2</v>
      </c>
      <c r="AD115" s="85"/>
      <c r="AE115" s="87"/>
      <c r="AF115" s="88"/>
    </row>
    <row r="116" spans="2:32" x14ac:dyDescent="0.3">
      <c r="B116" s="83" t="s">
        <v>84</v>
      </c>
      <c r="C116" s="84" t="s">
        <v>85</v>
      </c>
      <c r="D116" s="85">
        <v>803</v>
      </c>
      <c r="E116" s="85">
        <v>1.45</v>
      </c>
      <c r="F116" s="85" t="s">
        <v>86</v>
      </c>
      <c r="G116" s="87"/>
      <c r="H116" s="89"/>
      <c r="J116" s="84" t="s">
        <v>118</v>
      </c>
      <c r="K116" s="84" t="s">
        <v>66</v>
      </c>
      <c r="L116" s="85">
        <v>802</v>
      </c>
      <c r="M116" s="86">
        <v>3</v>
      </c>
      <c r="N116" s="90" t="s">
        <v>138</v>
      </c>
      <c r="O116" s="87"/>
      <c r="P116" s="88" t="s">
        <v>80</v>
      </c>
      <c r="R116" s="83" t="s">
        <v>88</v>
      </c>
      <c r="S116" s="84" t="s">
        <v>93</v>
      </c>
      <c r="T116" s="90">
        <v>705</v>
      </c>
      <c r="U116" s="91">
        <v>1.3</v>
      </c>
      <c r="V116" s="85" t="s">
        <v>55</v>
      </c>
      <c r="W116" s="87"/>
      <c r="X116" s="89"/>
      <c r="Z116" s="83" t="s">
        <v>88</v>
      </c>
      <c r="AA116" s="84" t="s">
        <v>93</v>
      </c>
      <c r="AB116" s="90">
        <v>705</v>
      </c>
      <c r="AC116" s="91">
        <v>1.3</v>
      </c>
      <c r="AD116" s="85" t="s">
        <v>55</v>
      </c>
      <c r="AE116" s="87"/>
      <c r="AF116" s="89"/>
    </row>
    <row r="117" spans="2:32" x14ac:dyDescent="0.3">
      <c r="B117" s="83" t="s">
        <v>91</v>
      </c>
      <c r="C117" s="84" t="s">
        <v>92</v>
      </c>
      <c r="D117" s="85">
        <v>805</v>
      </c>
      <c r="E117" s="86">
        <v>1.3</v>
      </c>
      <c r="F117" s="85" t="s">
        <v>46</v>
      </c>
      <c r="G117" s="87"/>
      <c r="H117" s="89"/>
      <c r="J117" s="83" t="s">
        <v>84</v>
      </c>
      <c r="K117" s="84" t="s">
        <v>85</v>
      </c>
      <c r="L117" s="85">
        <v>803</v>
      </c>
      <c r="M117" s="85">
        <v>1.45</v>
      </c>
      <c r="N117" s="85" t="s">
        <v>86</v>
      </c>
      <c r="O117" s="87"/>
      <c r="P117" s="89"/>
      <c r="R117" s="83" t="s">
        <v>94</v>
      </c>
      <c r="S117" s="84" t="s">
        <v>95</v>
      </c>
      <c r="T117" s="85" t="s">
        <v>90</v>
      </c>
      <c r="U117" s="86">
        <v>3</v>
      </c>
      <c r="V117" s="85"/>
      <c r="W117" s="87"/>
      <c r="X117" s="89"/>
      <c r="Z117" s="83" t="s">
        <v>94</v>
      </c>
      <c r="AA117" s="84" t="s">
        <v>95</v>
      </c>
      <c r="AB117" s="85" t="s">
        <v>90</v>
      </c>
      <c r="AC117" s="86">
        <v>3</v>
      </c>
      <c r="AD117" s="85"/>
      <c r="AE117" s="87"/>
      <c r="AF117" s="89"/>
    </row>
    <row r="118" spans="2:32" x14ac:dyDescent="0.3">
      <c r="B118" s="84" t="s">
        <v>118</v>
      </c>
      <c r="C118" s="84" t="s">
        <v>66</v>
      </c>
      <c r="D118" s="85">
        <v>807</v>
      </c>
      <c r="E118" s="86">
        <v>3</v>
      </c>
      <c r="F118" s="90"/>
      <c r="G118" s="87"/>
      <c r="H118" s="88" t="s">
        <v>80</v>
      </c>
      <c r="J118" s="83" t="s">
        <v>106</v>
      </c>
      <c r="K118" s="84" t="s">
        <v>107</v>
      </c>
      <c r="L118" s="85">
        <v>808</v>
      </c>
      <c r="M118" s="86">
        <v>2</v>
      </c>
      <c r="N118" s="85" t="s">
        <v>58</v>
      </c>
      <c r="O118" s="87"/>
      <c r="P118" s="89"/>
      <c r="R118" s="83" t="s">
        <v>100</v>
      </c>
      <c r="S118" s="84" t="s">
        <v>101</v>
      </c>
      <c r="T118" s="85">
        <v>811</v>
      </c>
      <c r="U118" s="86">
        <v>2</v>
      </c>
      <c r="V118" s="90" t="s">
        <v>48</v>
      </c>
      <c r="W118" s="87"/>
      <c r="X118" s="88" t="s">
        <v>105</v>
      </c>
      <c r="Z118" s="83" t="s">
        <v>100</v>
      </c>
      <c r="AA118" s="84" t="s">
        <v>101</v>
      </c>
      <c r="AB118" s="85">
        <v>811</v>
      </c>
      <c r="AC118" s="86">
        <v>2</v>
      </c>
      <c r="AD118" s="90" t="s">
        <v>48</v>
      </c>
      <c r="AE118" s="87"/>
      <c r="AF118" s="88" t="s">
        <v>102</v>
      </c>
    </row>
    <row r="119" spans="2:32" x14ac:dyDescent="0.3">
      <c r="B119" s="84" t="s">
        <v>103</v>
      </c>
      <c r="C119" s="84" t="s">
        <v>104</v>
      </c>
      <c r="D119" s="85">
        <v>808</v>
      </c>
      <c r="E119" s="86">
        <v>2</v>
      </c>
      <c r="F119" s="90" t="s">
        <v>139</v>
      </c>
      <c r="G119" s="87"/>
      <c r="H119" s="88"/>
      <c r="J119" s="83" t="s">
        <v>100</v>
      </c>
      <c r="K119" s="84" t="s">
        <v>101</v>
      </c>
      <c r="L119" s="85">
        <v>811</v>
      </c>
      <c r="M119" s="86">
        <v>2</v>
      </c>
      <c r="N119" s="90" t="s">
        <v>48</v>
      </c>
      <c r="O119" s="87"/>
      <c r="P119" s="88" t="s">
        <v>124</v>
      </c>
      <c r="R119" s="83" t="s">
        <v>91</v>
      </c>
      <c r="S119" s="84" t="s">
        <v>92</v>
      </c>
      <c r="T119" s="85">
        <v>805</v>
      </c>
      <c r="U119" s="86">
        <v>1.3</v>
      </c>
      <c r="V119" s="85" t="s">
        <v>46</v>
      </c>
      <c r="W119" s="87"/>
      <c r="X119" s="89"/>
      <c r="Z119" s="83" t="s">
        <v>91</v>
      </c>
      <c r="AA119" s="84" t="s">
        <v>92</v>
      </c>
      <c r="AB119" s="85">
        <v>805</v>
      </c>
      <c r="AC119" s="86">
        <v>1.3</v>
      </c>
      <c r="AD119" s="85" t="s">
        <v>46</v>
      </c>
      <c r="AE119" s="87"/>
      <c r="AF119" s="89"/>
    </row>
    <row r="120" spans="2:32" x14ac:dyDescent="0.3">
      <c r="B120" s="83" t="s">
        <v>100</v>
      </c>
      <c r="C120" s="84" t="s">
        <v>101</v>
      </c>
      <c r="D120" s="85">
        <v>811</v>
      </c>
      <c r="E120" s="86">
        <v>2</v>
      </c>
      <c r="F120" s="90" t="s">
        <v>48</v>
      </c>
      <c r="G120" s="87"/>
      <c r="H120" s="88" t="s">
        <v>102</v>
      </c>
      <c r="J120" s="84" t="s">
        <v>109</v>
      </c>
      <c r="K120" s="84" t="s">
        <v>110</v>
      </c>
      <c r="L120" s="85">
        <v>842</v>
      </c>
      <c r="M120" s="85">
        <v>1.45</v>
      </c>
      <c r="N120" s="90" t="s">
        <v>111</v>
      </c>
      <c r="O120" s="87"/>
      <c r="P120" s="89"/>
      <c r="R120" s="83" t="s">
        <v>106</v>
      </c>
      <c r="S120" s="84" t="s">
        <v>107</v>
      </c>
      <c r="T120" s="85">
        <v>808</v>
      </c>
      <c r="U120" s="86">
        <v>2</v>
      </c>
      <c r="V120" s="85" t="s">
        <v>58</v>
      </c>
      <c r="W120" s="87"/>
      <c r="X120" s="89"/>
      <c r="Z120" s="83" t="s">
        <v>106</v>
      </c>
      <c r="AA120" s="84" t="s">
        <v>107</v>
      </c>
      <c r="AB120" s="85">
        <v>808</v>
      </c>
      <c r="AC120" s="86">
        <v>2</v>
      </c>
      <c r="AD120" s="85" t="s">
        <v>58</v>
      </c>
      <c r="AE120" s="87"/>
      <c r="AF120" s="89"/>
    </row>
    <row r="121" spans="2:32" x14ac:dyDescent="0.3">
      <c r="B121" s="83" t="s">
        <v>106</v>
      </c>
      <c r="C121" s="84" t="s">
        <v>107</v>
      </c>
      <c r="D121" s="85">
        <v>842</v>
      </c>
      <c r="E121" s="86">
        <v>2</v>
      </c>
      <c r="F121" s="85" t="s">
        <v>58</v>
      </c>
      <c r="G121" s="87"/>
      <c r="H121" s="89"/>
      <c r="J121" s="84" t="s">
        <v>112</v>
      </c>
      <c r="K121" s="84" t="s">
        <v>113</v>
      </c>
      <c r="L121" s="85">
        <v>843</v>
      </c>
      <c r="M121" s="86">
        <v>1.1000000000000001</v>
      </c>
      <c r="N121" s="90" t="s">
        <v>114</v>
      </c>
      <c r="O121" s="87"/>
      <c r="P121" s="89"/>
      <c r="R121" s="84" t="s">
        <v>112</v>
      </c>
      <c r="S121" s="84" t="s">
        <v>113</v>
      </c>
      <c r="T121" s="85">
        <v>843</v>
      </c>
      <c r="U121" s="86">
        <v>1.1000000000000001</v>
      </c>
      <c r="V121" s="90" t="s">
        <v>114</v>
      </c>
      <c r="W121" s="87"/>
      <c r="X121" s="89"/>
      <c r="Z121" s="84" t="s">
        <v>112</v>
      </c>
      <c r="AA121" s="84" t="s">
        <v>113</v>
      </c>
      <c r="AB121" s="85">
        <v>843</v>
      </c>
      <c r="AC121" s="86">
        <v>1.1000000000000001</v>
      </c>
      <c r="AD121" s="90" t="s">
        <v>114</v>
      </c>
      <c r="AE121" s="87"/>
      <c r="AF121" s="89"/>
    </row>
    <row r="122" spans="2:32" x14ac:dyDescent="0.3">
      <c r="B122" s="84" t="s">
        <v>112</v>
      </c>
      <c r="C122" s="84" t="s">
        <v>113</v>
      </c>
      <c r="D122" s="85">
        <v>843</v>
      </c>
      <c r="E122" s="86">
        <v>1.1000000000000001</v>
      </c>
      <c r="F122" s="90" t="s">
        <v>114</v>
      </c>
      <c r="G122" s="87"/>
      <c r="H122" s="89"/>
      <c r="J122" s="106" t="s">
        <v>78</v>
      </c>
      <c r="K122" s="106" t="s">
        <v>79</v>
      </c>
      <c r="L122" s="107" t="s">
        <v>90</v>
      </c>
      <c r="M122" s="108">
        <v>1.2</v>
      </c>
      <c r="N122" s="109"/>
      <c r="O122" s="110"/>
      <c r="P122" s="111"/>
      <c r="R122" s="84" t="s">
        <v>116</v>
      </c>
      <c r="S122" s="84" t="s">
        <v>89</v>
      </c>
      <c r="T122" s="85" t="s">
        <v>90</v>
      </c>
      <c r="U122" s="86">
        <v>2.2999999999999998</v>
      </c>
      <c r="V122" s="90"/>
      <c r="W122" s="87"/>
      <c r="X122" s="88"/>
      <c r="Z122" s="84" t="s">
        <v>116</v>
      </c>
      <c r="AA122" s="84" t="s">
        <v>89</v>
      </c>
      <c r="AB122" s="85" t="s">
        <v>90</v>
      </c>
      <c r="AC122" s="86">
        <v>2.2999999999999998</v>
      </c>
      <c r="AD122" s="90"/>
      <c r="AE122" s="87"/>
      <c r="AF122" s="88"/>
    </row>
    <row r="123" spans="2:32" x14ac:dyDescent="0.3">
      <c r="B123" s="84" t="s">
        <v>78</v>
      </c>
      <c r="C123" s="84" t="s">
        <v>79</v>
      </c>
      <c r="D123" s="85" t="s">
        <v>90</v>
      </c>
      <c r="E123" s="86">
        <v>1.2</v>
      </c>
      <c r="F123" s="90"/>
      <c r="G123" s="87"/>
      <c r="H123" s="88"/>
      <c r="J123" s="112" t="s">
        <v>81</v>
      </c>
      <c r="K123" s="106" t="s">
        <v>82</v>
      </c>
      <c r="L123" s="107" t="s">
        <v>90</v>
      </c>
      <c r="M123" s="108">
        <v>1.2</v>
      </c>
      <c r="N123" s="107"/>
      <c r="O123" s="110"/>
      <c r="P123" s="111"/>
      <c r="R123" s="84" t="s">
        <v>118</v>
      </c>
      <c r="S123" s="84" t="s">
        <v>66</v>
      </c>
      <c r="T123" s="85" t="s">
        <v>90</v>
      </c>
      <c r="U123" s="86">
        <v>3</v>
      </c>
      <c r="V123" s="90"/>
      <c r="W123" s="87"/>
      <c r="X123" s="88"/>
      <c r="Z123" s="84" t="s">
        <v>118</v>
      </c>
      <c r="AA123" s="84" t="s">
        <v>66</v>
      </c>
      <c r="AB123" s="85" t="s">
        <v>90</v>
      </c>
      <c r="AC123" s="86">
        <v>3</v>
      </c>
      <c r="AD123" s="90"/>
      <c r="AE123" s="87"/>
      <c r="AF123" s="88"/>
    </row>
    <row r="124" spans="2:32" x14ac:dyDescent="0.3">
      <c r="B124" s="83" t="s">
        <v>81</v>
      </c>
      <c r="C124" s="84" t="s">
        <v>82</v>
      </c>
      <c r="D124" s="85" t="s">
        <v>90</v>
      </c>
      <c r="E124" s="86">
        <v>1.2</v>
      </c>
      <c r="F124" s="85"/>
      <c r="G124" s="87"/>
      <c r="H124" s="88"/>
      <c r="J124" s="112" t="s">
        <v>94</v>
      </c>
      <c r="K124" s="106" t="s">
        <v>95</v>
      </c>
      <c r="L124" s="107" t="s">
        <v>90</v>
      </c>
      <c r="M124" s="108">
        <v>3</v>
      </c>
      <c r="N124" s="107"/>
      <c r="O124" s="110"/>
      <c r="P124" s="114"/>
      <c r="R124" s="84" t="s">
        <v>103</v>
      </c>
      <c r="S124" s="84" t="s">
        <v>104</v>
      </c>
      <c r="T124" s="85">
        <v>808</v>
      </c>
      <c r="U124" s="86">
        <v>2</v>
      </c>
      <c r="V124" s="90" t="s">
        <v>139</v>
      </c>
      <c r="W124" s="87"/>
      <c r="X124" s="88"/>
      <c r="Z124" s="84" t="s">
        <v>103</v>
      </c>
      <c r="AA124" s="84" t="s">
        <v>104</v>
      </c>
      <c r="AB124" s="85">
        <v>808</v>
      </c>
      <c r="AC124" s="86">
        <v>2</v>
      </c>
      <c r="AD124" s="90" t="s">
        <v>139</v>
      </c>
      <c r="AE124" s="87"/>
      <c r="AF124" s="88"/>
    </row>
    <row r="125" spans="2:32" x14ac:dyDescent="0.3">
      <c r="B125" s="83" t="s">
        <v>94</v>
      </c>
      <c r="C125" s="84" t="s">
        <v>95</v>
      </c>
      <c r="D125" s="85" t="s">
        <v>90</v>
      </c>
      <c r="E125" s="86">
        <v>3</v>
      </c>
      <c r="F125" s="85"/>
      <c r="G125" s="87"/>
      <c r="H125" s="89"/>
      <c r="J125" s="112" t="s">
        <v>91</v>
      </c>
      <c r="K125" s="106" t="s">
        <v>92</v>
      </c>
      <c r="L125" s="107" t="s">
        <v>90</v>
      </c>
      <c r="M125" s="108">
        <v>1.3</v>
      </c>
      <c r="N125" s="107"/>
      <c r="O125" s="110"/>
      <c r="P125" s="114"/>
      <c r="R125" s="83" t="s">
        <v>96</v>
      </c>
      <c r="S125" s="84" t="s">
        <v>97</v>
      </c>
      <c r="T125" s="90">
        <v>802</v>
      </c>
      <c r="U125" s="86">
        <v>1.3</v>
      </c>
      <c r="V125" s="90" t="s">
        <v>98</v>
      </c>
      <c r="W125" s="87"/>
      <c r="X125" s="89"/>
      <c r="Z125" s="83" t="s">
        <v>96</v>
      </c>
      <c r="AA125" s="84" t="s">
        <v>97</v>
      </c>
      <c r="AB125" s="90">
        <v>802</v>
      </c>
      <c r="AC125" s="86">
        <v>1.3</v>
      </c>
      <c r="AD125" s="90" t="s">
        <v>98</v>
      </c>
      <c r="AE125" s="87"/>
      <c r="AF125" s="89"/>
    </row>
    <row r="126" spans="2:32" x14ac:dyDescent="0.3">
      <c r="B126" s="84" t="s">
        <v>116</v>
      </c>
      <c r="C126" s="84" t="s">
        <v>89</v>
      </c>
      <c r="D126" s="85" t="s">
        <v>90</v>
      </c>
      <c r="E126" s="86">
        <v>2.2999999999999998</v>
      </c>
      <c r="F126" s="90"/>
      <c r="G126" s="87"/>
      <c r="H126" s="88"/>
      <c r="J126" s="106" t="s">
        <v>103</v>
      </c>
      <c r="K126" s="106" t="s">
        <v>104</v>
      </c>
      <c r="L126" s="107" t="s">
        <v>90</v>
      </c>
      <c r="M126" s="108">
        <v>2</v>
      </c>
      <c r="N126" s="109"/>
      <c r="O126" s="110"/>
      <c r="P126" s="111"/>
      <c r="R126" s="84" t="s">
        <v>109</v>
      </c>
      <c r="S126" s="84" t="s">
        <v>110</v>
      </c>
      <c r="T126" s="85">
        <v>842</v>
      </c>
      <c r="U126" s="85">
        <v>1.45</v>
      </c>
      <c r="V126" s="90" t="s">
        <v>111</v>
      </c>
      <c r="W126" s="87"/>
      <c r="X126" s="89"/>
      <c r="Z126" s="84" t="s">
        <v>109</v>
      </c>
      <c r="AA126" s="84" t="s">
        <v>110</v>
      </c>
      <c r="AB126" s="85">
        <v>842</v>
      </c>
      <c r="AC126" s="85">
        <v>1.45</v>
      </c>
      <c r="AD126" s="90" t="s">
        <v>111</v>
      </c>
      <c r="AE126" s="87"/>
      <c r="AF126" s="89"/>
    </row>
    <row r="127" spans="2:32" x14ac:dyDescent="0.3">
      <c r="B127" s="84" t="s">
        <v>109</v>
      </c>
      <c r="C127" s="84" t="s">
        <v>110</v>
      </c>
      <c r="D127" s="85" t="s">
        <v>90</v>
      </c>
      <c r="E127" s="85">
        <v>1.45</v>
      </c>
      <c r="F127" s="90"/>
      <c r="G127" s="87"/>
      <c r="H127" s="89"/>
      <c r="J127" s="112" t="s">
        <v>96</v>
      </c>
      <c r="K127" s="106" t="s">
        <v>97</v>
      </c>
      <c r="L127" s="109" t="s">
        <v>90</v>
      </c>
      <c r="M127" s="108">
        <v>1.3</v>
      </c>
      <c r="N127" s="109"/>
      <c r="O127" s="110"/>
      <c r="P127" s="114"/>
      <c r="R127" s="83" t="s">
        <v>84</v>
      </c>
      <c r="S127" s="84" t="s">
        <v>85</v>
      </c>
      <c r="T127" s="85">
        <v>803</v>
      </c>
      <c r="U127" s="85">
        <v>1.45</v>
      </c>
      <c r="V127" s="85" t="s">
        <v>86</v>
      </c>
      <c r="W127" s="87"/>
      <c r="X127" s="89"/>
      <c r="Z127" s="83" t="s">
        <v>84</v>
      </c>
      <c r="AA127" s="84" t="s">
        <v>85</v>
      </c>
      <c r="AB127" s="85">
        <v>803</v>
      </c>
      <c r="AC127" s="85">
        <v>1.45</v>
      </c>
      <c r="AD127" s="85" t="s">
        <v>86</v>
      </c>
      <c r="AE127" s="87"/>
      <c r="AF127" s="89"/>
    </row>
    <row r="128" spans="2:32" x14ac:dyDescent="0.3">
      <c r="B128" s="84"/>
      <c r="C128" s="84"/>
      <c r="D128" s="85"/>
      <c r="E128" s="86"/>
      <c r="F128" s="85"/>
      <c r="G128" s="87"/>
      <c r="H128" s="89"/>
      <c r="J128" s="84"/>
      <c r="K128" s="84"/>
      <c r="L128" s="85"/>
      <c r="M128" s="86"/>
      <c r="N128" s="85"/>
      <c r="O128" s="87"/>
      <c r="P128" s="89"/>
      <c r="R128" s="84"/>
      <c r="S128" s="84"/>
      <c r="T128" s="85"/>
      <c r="U128" s="86"/>
      <c r="V128" s="85"/>
      <c r="W128" s="87"/>
      <c r="X128" s="89"/>
      <c r="Z128" s="84"/>
      <c r="AA128" s="84"/>
      <c r="AB128" s="85"/>
      <c r="AC128" s="86"/>
      <c r="AD128" s="85"/>
      <c r="AE128" s="87"/>
      <c r="AF128" s="89"/>
    </row>
    <row r="129" spans="2:32" x14ac:dyDescent="0.3">
      <c r="B129" s="84"/>
      <c r="C129" s="84"/>
      <c r="D129" s="85"/>
      <c r="E129" s="86"/>
      <c r="F129" s="85"/>
      <c r="G129" s="87"/>
      <c r="H129" s="89"/>
      <c r="J129" s="84"/>
      <c r="K129" s="84"/>
      <c r="L129" s="85"/>
      <c r="M129" s="86"/>
      <c r="N129" s="85"/>
      <c r="O129" s="87"/>
      <c r="P129" s="89"/>
      <c r="R129" s="84"/>
      <c r="S129" s="84"/>
      <c r="T129" s="85"/>
      <c r="U129" s="86"/>
      <c r="V129" s="85"/>
      <c r="W129" s="87"/>
      <c r="X129" s="89"/>
      <c r="Z129" s="84"/>
      <c r="AA129" s="84"/>
      <c r="AB129" s="85"/>
      <c r="AC129" s="86"/>
      <c r="AD129" s="85"/>
      <c r="AE129" s="87"/>
      <c r="AF129" s="89"/>
    </row>
    <row r="130" spans="2:32" x14ac:dyDescent="0.3">
      <c r="B130" s="83"/>
      <c r="C130" s="83"/>
      <c r="D130" s="85"/>
      <c r="E130" s="85"/>
      <c r="F130" s="90"/>
      <c r="G130" s="87"/>
      <c r="H130" s="89"/>
      <c r="J130" s="83"/>
      <c r="K130" s="83"/>
      <c r="L130" s="85"/>
      <c r="M130" s="85"/>
      <c r="N130" s="90"/>
      <c r="O130" s="87"/>
      <c r="P130" s="89"/>
      <c r="R130" s="83"/>
      <c r="S130" s="83"/>
      <c r="T130" s="85"/>
      <c r="U130" s="85"/>
      <c r="V130" s="90"/>
      <c r="W130" s="87"/>
      <c r="X130" s="89"/>
      <c r="Z130" s="83"/>
      <c r="AA130" s="83"/>
      <c r="AB130" s="85"/>
      <c r="AC130" s="85"/>
      <c r="AD130" s="90"/>
      <c r="AE130" s="87"/>
      <c r="AF130" s="89"/>
    </row>
    <row r="131" spans="2:32" x14ac:dyDescent="0.3">
      <c r="B131" s="83"/>
      <c r="C131" s="83"/>
      <c r="D131" s="85"/>
      <c r="E131" s="85"/>
      <c r="F131" s="85"/>
      <c r="G131" s="87"/>
      <c r="H131" s="89"/>
      <c r="J131" s="83"/>
      <c r="K131" s="83"/>
      <c r="L131" s="85"/>
      <c r="M131" s="85"/>
      <c r="N131" s="85"/>
      <c r="O131" s="87"/>
      <c r="P131" s="89"/>
      <c r="R131" s="83"/>
      <c r="S131" s="83"/>
      <c r="T131" s="85"/>
      <c r="U131" s="85"/>
      <c r="V131" s="85"/>
      <c r="W131" s="87"/>
      <c r="X131" s="89"/>
      <c r="Z131" s="83"/>
      <c r="AA131" s="83"/>
      <c r="AB131" s="85"/>
      <c r="AC131" s="85"/>
      <c r="AD131" s="85"/>
      <c r="AE131" s="87"/>
      <c r="AF131" s="89"/>
    </row>
    <row r="132" spans="2:32" x14ac:dyDescent="0.3">
      <c r="B132" s="83"/>
      <c r="C132" s="83"/>
      <c r="D132" s="85"/>
      <c r="E132" s="85"/>
      <c r="F132" s="85"/>
      <c r="G132" s="87"/>
      <c r="H132" s="89"/>
      <c r="J132" s="83"/>
      <c r="K132" s="83"/>
      <c r="L132" s="85"/>
      <c r="M132" s="85"/>
      <c r="N132" s="85"/>
      <c r="O132" s="87"/>
      <c r="P132" s="89"/>
      <c r="R132" s="83"/>
      <c r="S132" s="83"/>
      <c r="T132" s="85"/>
      <c r="U132" s="85"/>
      <c r="V132" s="85"/>
      <c r="W132" s="87"/>
      <c r="X132" s="89"/>
      <c r="Z132" s="83"/>
      <c r="AA132" s="83"/>
      <c r="AB132" s="85"/>
      <c r="AC132" s="85"/>
      <c r="AD132" s="85"/>
      <c r="AE132" s="87"/>
      <c r="AF132" s="89"/>
    </row>
    <row r="133" spans="2:32" ht="15" thickBot="1" x14ac:dyDescent="0.35">
      <c r="B133" s="115"/>
      <c r="C133" s="115"/>
      <c r="D133" s="116"/>
      <c r="E133" s="116"/>
      <c r="F133" s="116"/>
      <c r="G133" s="117"/>
      <c r="H133" s="118"/>
      <c r="J133" s="115"/>
      <c r="K133" s="115"/>
      <c r="L133" s="116"/>
      <c r="M133" s="116"/>
      <c r="N133" s="116"/>
      <c r="O133" s="117"/>
      <c r="P133" s="118"/>
      <c r="R133" s="115"/>
      <c r="S133" s="115"/>
      <c r="T133" s="116"/>
      <c r="U133" s="116"/>
      <c r="V133" s="116"/>
      <c r="W133" s="117"/>
      <c r="X133" s="118"/>
      <c r="Z133" s="115"/>
      <c r="AA133" s="115"/>
      <c r="AB133" s="116"/>
      <c r="AC133" s="116"/>
      <c r="AD133" s="116"/>
      <c r="AE133" s="117"/>
      <c r="AF133" s="118"/>
    </row>
    <row r="134" spans="2:32" ht="15.6" x14ac:dyDescent="0.3">
      <c r="B134" s="203" t="s">
        <v>140</v>
      </c>
      <c r="C134" s="204"/>
      <c r="D134" s="204"/>
      <c r="E134" s="204"/>
      <c r="F134" s="204"/>
      <c r="G134" s="205">
        <v>46313</v>
      </c>
      <c r="H134" s="206"/>
      <c r="J134" s="203" t="s">
        <v>140</v>
      </c>
      <c r="K134" s="204"/>
      <c r="L134" s="204"/>
      <c r="M134" s="204"/>
      <c r="N134" s="204"/>
      <c r="O134" s="205">
        <v>46320</v>
      </c>
      <c r="P134" s="206"/>
      <c r="Q134" s="64"/>
      <c r="R134" s="203" t="s">
        <v>140</v>
      </c>
      <c r="S134" s="204"/>
      <c r="T134" s="204"/>
      <c r="U134" s="204"/>
      <c r="V134" s="204"/>
      <c r="W134" s="205">
        <v>46327</v>
      </c>
      <c r="X134" s="206"/>
      <c r="Y134" s="64"/>
      <c r="Z134" s="203" t="s">
        <v>140</v>
      </c>
      <c r="AA134" s="204"/>
      <c r="AB134" s="204"/>
      <c r="AC134" s="204"/>
      <c r="AD134" s="204"/>
      <c r="AE134" s="205">
        <v>46334</v>
      </c>
      <c r="AF134" s="206"/>
    </row>
    <row r="135" spans="2:32" ht="15" thickBot="1" x14ac:dyDescent="0.35">
      <c r="B135" s="129" t="s">
        <v>12</v>
      </c>
      <c r="C135" s="129" t="s">
        <v>73</v>
      </c>
      <c r="D135" s="67" t="s">
        <v>29</v>
      </c>
      <c r="E135" s="67" t="s">
        <v>74</v>
      </c>
      <c r="F135" s="67" t="s">
        <v>75</v>
      </c>
      <c r="G135" s="69" t="s">
        <v>122</v>
      </c>
      <c r="H135" s="69" t="s">
        <v>77</v>
      </c>
      <c r="J135" s="129" t="s">
        <v>12</v>
      </c>
      <c r="K135" s="129" t="s">
        <v>73</v>
      </c>
      <c r="L135" s="67" t="s">
        <v>29</v>
      </c>
      <c r="M135" s="67" t="s">
        <v>74</v>
      </c>
      <c r="N135" s="67" t="s">
        <v>75</v>
      </c>
      <c r="O135" s="69" t="s">
        <v>122</v>
      </c>
      <c r="P135" s="69" t="s">
        <v>77</v>
      </c>
      <c r="R135" s="65" t="s">
        <v>12</v>
      </c>
      <c r="S135" s="65" t="s">
        <v>73</v>
      </c>
      <c r="T135" s="66" t="s">
        <v>29</v>
      </c>
      <c r="U135" s="66" t="s">
        <v>74</v>
      </c>
      <c r="V135" s="67" t="s">
        <v>75</v>
      </c>
      <c r="W135" s="68" t="s">
        <v>122</v>
      </c>
      <c r="X135" s="68" t="s">
        <v>77</v>
      </c>
      <c r="Z135" s="65" t="s">
        <v>12</v>
      </c>
      <c r="AA135" s="65" t="s">
        <v>73</v>
      </c>
      <c r="AB135" s="66" t="s">
        <v>29</v>
      </c>
      <c r="AC135" s="66" t="s">
        <v>74</v>
      </c>
      <c r="AD135" s="67" t="s">
        <v>75</v>
      </c>
      <c r="AE135" s="68" t="s">
        <v>122</v>
      </c>
      <c r="AF135" s="68" t="s">
        <v>77</v>
      </c>
    </row>
    <row r="136" spans="2:32" x14ac:dyDescent="0.3">
      <c r="B136" s="76" t="s">
        <v>88</v>
      </c>
      <c r="C136" s="70" t="s">
        <v>93</v>
      </c>
      <c r="D136" s="73">
        <v>905</v>
      </c>
      <c r="E136" s="119">
        <v>1.3</v>
      </c>
      <c r="F136" s="71" t="s">
        <v>141</v>
      </c>
      <c r="G136" s="74"/>
      <c r="H136" s="120"/>
      <c r="J136" s="76" t="s">
        <v>91</v>
      </c>
      <c r="K136" s="70" t="s">
        <v>92</v>
      </c>
      <c r="L136" s="71">
        <v>905</v>
      </c>
      <c r="M136" s="72">
        <v>1.3</v>
      </c>
      <c r="N136" s="71" t="s">
        <v>141</v>
      </c>
      <c r="O136" s="74"/>
      <c r="P136" s="120"/>
      <c r="R136" s="76" t="s">
        <v>88</v>
      </c>
      <c r="S136" s="70" t="s">
        <v>93</v>
      </c>
      <c r="T136" s="73">
        <v>905</v>
      </c>
      <c r="U136" s="119">
        <v>1.3</v>
      </c>
      <c r="V136" s="71" t="s">
        <v>141</v>
      </c>
      <c r="W136" s="74"/>
      <c r="X136" s="120"/>
      <c r="Z136" s="76" t="s">
        <v>88</v>
      </c>
      <c r="AA136" s="70" t="s">
        <v>93</v>
      </c>
      <c r="AB136" s="73">
        <v>905</v>
      </c>
      <c r="AC136" s="119">
        <v>1.3</v>
      </c>
      <c r="AD136" s="71" t="s">
        <v>141</v>
      </c>
      <c r="AE136" s="74"/>
      <c r="AF136" s="120"/>
    </row>
    <row r="137" spans="2:32" x14ac:dyDescent="0.3">
      <c r="B137" s="84" t="s">
        <v>112</v>
      </c>
      <c r="C137" s="84" t="s">
        <v>113</v>
      </c>
      <c r="D137" s="85">
        <v>942</v>
      </c>
      <c r="E137" s="86">
        <v>1.1000000000000001</v>
      </c>
      <c r="F137" s="90" t="s">
        <v>142</v>
      </c>
      <c r="G137" s="87"/>
      <c r="H137" s="89"/>
      <c r="J137" s="83" t="s">
        <v>96</v>
      </c>
      <c r="K137" s="84" t="s">
        <v>97</v>
      </c>
      <c r="L137" s="90">
        <v>907</v>
      </c>
      <c r="M137" s="86">
        <v>1.3</v>
      </c>
      <c r="N137" s="90" t="s">
        <v>98</v>
      </c>
      <c r="O137" s="87"/>
      <c r="P137" s="89"/>
      <c r="R137" s="83" t="s">
        <v>96</v>
      </c>
      <c r="S137" s="84" t="s">
        <v>97</v>
      </c>
      <c r="T137" s="90">
        <v>907</v>
      </c>
      <c r="U137" s="86">
        <v>1.3</v>
      </c>
      <c r="V137" s="90" t="s">
        <v>98</v>
      </c>
      <c r="W137" s="87"/>
      <c r="X137" s="89"/>
      <c r="Z137" s="83" t="s">
        <v>96</v>
      </c>
      <c r="AA137" s="84" t="s">
        <v>97</v>
      </c>
      <c r="AB137" s="90">
        <v>907</v>
      </c>
      <c r="AC137" s="86">
        <v>1.3</v>
      </c>
      <c r="AD137" s="90" t="s">
        <v>98</v>
      </c>
      <c r="AE137" s="87"/>
      <c r="AF137" s="89"/>
    </row>
    <row r="138" spans="2:32" x14ac:dyDescent="0.3">
      <c r="B138" s="83" t="s">
        <v>96</v>
      </c>
      <c r="C138" s="84" t="s">
        <v>97</v>
      </c>
      <c r="D138" s="90" t="s">
        <v>90</v>
      </c>
      <c r="E138" s="86">
        <v>1.3</v>
      </c>
      <c r="F138" s="90"/>
      <c r="G138" s="87"/>
      <c r="H138" s="89"/>
      <c r="J138" s="84" t="s">
        <v>103</v>
      </c>
      <c r="K138" s="84" t="s">
        <v>104</v>
      </c>
      <c r="L138" s="85">
        <v>911</v>
      </c>
      <c r="M138" s="86">
        <v>2</v>
      </c>
      <c r="N138" s="90" t="s">
        <v>48</v>
      </c>
      <c r="O138" s="87"/>
      <c r="P138" s="88"/>
      <c r="R138" s="84" t="s">
        <v>112</v>
      </c>
      <c r="S138" s="84" t="s">
        <v>113</v>
      </c>
      <c r="T138" s="85">
        <v>942</v>
      </c>
      <c r="U138" s="86">
        <v>1.1000000000000001</v>
      </c>
      <c r="V138" s="90" t="s">
        <v>142</v>
      </c>
      <c r="W138" s="87"/>
      <c r="X138" s="89"/>
      <c r="Z138" s="84" t="s">
        <v>112</v>
      </c>
      <c r="AA138" s="84" t="s">
        <v>113</v>
      </c>
      <c r="AB138" s="85">
        <v>942</v>
      </c>
      <c r="AC138" s="86">
        <v>1.1000000000000001</v>
      </c>
      <c r="AD138" s="90" t="s">
        <v>142</v>
      </c>
      <c r="AE138" s="87"/>
      <c r="AF138" s="89"/>
    </row>
    <row r="139" spans="2:32" x14ac:dyDescent="0.3">
      <c r="B139" s="84" t="s">
        <v>109</v>
      </c>
      <c r="C139" s="84" t="s">
        <v>110</v>
      </c>
      <c r="D139" s="85" t="s">
        <v>90</v>
      </c>
      <c r="E139" s="85">
        <v>1.45</v>
      </c>
      <c r="F139" s="90"/>
      <c r="G139" s="87"/>
      <c r="H139" s="89"/>
      <c r="J139" s="84" t="s">
        <v>109</v>
      </c>
      <c r="K139" s="84" t="s">
        <v>110</v>
      </c>
      <c r="L139" s="85">
        <v>942</v>
      </c>
      <c r="M139" s="85">
        <v>1.45</v>
      </c>
      <c r="N139" s="90" t="s">
        <v>142</v>
      </c>
      <c r="O139" s="87"/>
      <c r="P139" s="89"/>
      <c r="R139" s="84" t="s">
        <v>109</v>
      </c>
      <c r="S139" s="84" t="s">
        <v>110</v>
      </c>
      <c r="T139" s="85">
        <v>942</v>
      </c>
      <c r="U139" s="85">
        <v>1.45</v>
      </c>
      <c r="V139" s="90" t="s">
        <v>142</v>
      </c>
      <c r="W139" s="87"/>
      <c r="X139" s="89"/>
      <c r="Z139" s="84" t="s">
        <v>109</v>
      </c>
      <c r="AA139" s="84" t="s">
        <v>110</v>
      </c>
      <c r="AB139" s="85">
        <v>942</v>
      </c>
      <c r="AC139" s="85">
        <v>1.45</v>
      </c>
      <c r="AD139" s="90" t="s">
        <v>142</v>
      </c>
      <c r="AE139" s="87"/>
      <c r="AF139" s="89"/>
    </row>
    <row r="140" spans="2:32" x14ac:dyDescent="0.3">
      <c r="B140" s="84" t="s">
        <v>78</v>
      </c>
      <c r="C140" s="84" t="s">
        <v>79</v>
      </c>
      <c r="D140" s="85" t="s">
        <v>90</v>
      </c>
      <c r="E140" s="86">
        <v>1.2</v>
      </c>
      <c r="F140" s="90"/>
      <c r="G140" s="87"/>
      <c r="H140" s="88"/>
      <c r="J140" s="112" t="s">
        <v>88</v>
      </c>
      <c r="K140" s="106" t="s">
        <v>93</v>
      </c>
      <c r="L140" s="109" t="s">
        <v>90</v>
      </c>
      <c r="M140" s="113">
        <v>1.3</v>
      </c>
      <c r="N140" s="107"/>
      <c r="O140" s="110"/>
      <c r="P140" s="114"/>
      <c r="R140" s="84" t="s">
        <v>78</v>
      </c>
      <c r="S140" s="84" t="s">
        <v>79</v>
      </c>
      <c r="T140" s="85" t="s">
        <v>90</v>
      </c>
      <c r="U140" s="86">
        <v>1.2</v>
      </c>
      <c r="V140" s="90"/>
      <c r="W140" s="87"/>
      <c r="X140" s="88"/>
      <c r="Z140" s="84" t="s">
        <v>78</v>
      </c>
      <c r="AA140" s="84" t="s">
        <v>79</v>
      </c>
      <c r="AB140" s="85" t="s">
        <v>90</v>
      </c>
      <c r="AC140" s="86">
        <v>1.2</v>
      </c>
      <c r="AD140" s="90"/>
      <c r="AE140" s="87"/>
      <c r="AF140" s="88"/>
    </row>
    <row r="141" spans="2:32" x14ac:dyDescent="0.3">
      <c r="B141" s="83" t="s">
        <v>81</v>
      </c>
      <c r="C141" s="84" t="s">
        <v>82</v>
      </c>
      <c r="D141" s="85" t="s">
        <v>90</v>
      </c>
      <c r="E141" s="86">
        <v>1.2</v>
      </c>
      <c r="F141" s="85"/>
      <c r="G141" s="87"/>
      <c r="H141" s="88"/>
      <c r="J141" s="106" t="s">
        <v>112</v>
      </c>
      <c r="K141" s="106" t="s">
        <v>113</v>
      </c>
      <c r="L141" s="107" t="s">
        <v>90</v>
      </c>
      <c r="M141" s="108">
        <v>1.1000000000000001</v>
      </c>
      <c r="N141" s="109"/>
      <c r="O141" s="110"/>
      <c r="P141" s="114"/>
      <c r="R141" s="83" t="s">
        <v>81</v>
      </c>
      <c r="S141" s="84" t="s">
        <v>82</v>
      </c>
      <c r="T141" s="85" t="s">
        <v>90</v>
      </c>
      <c r="U141" s="86">
        <v>1.2</v>
      </c>
      <c r="V141" s="85"/>
      <c r="W141" s="87"/>
      <c r="X141" s="88"/>
      <c r="Z141" s="83" t="s">
        <v>81</v>
      </c>
      <c r="AA141" s="84" t="s">
        <v>82</v>
      </c>
      <c r="AB141" s="85" t="s">
        <v>90</v>
      </c>
      <c r="AC141" s="86">
        <v>1.2</v>
      </c>
      <c r="AD141" s="85"/>
      <c r="AE141" s="87"/>
      <c r="AF141" s="88"/>
    </row>
    <row r="142" spans="2:32" x14ac:dyDescent="0.3">
      <c r="B142" s="83" t="s">
        <v>94</v>
      </c>
      <c r="C142" s="84" t="s">
        <v>95</v>
      </c>
      <c r="D142" s="85" t="s">
        <v>90</v>
      </c>
      <c r="E142" s="86">
        <v>3</v>
      </c>
      <c r="F142" s="85"/>
      <c r="G142" s="87"/>
      <c r="H142" s="89"/>
      <c r="J142" s="106" t="s">
        <v>78</v>
      </c>
      <c r="K142" s="106" t="s">
        <v>79</v>
      </c>
      <c r="L142" s="107" t="s">
        <v>90</v>
      </c>
      <c r="M142" s="108">
        <v>1.2</v>
      </c>
      <c r="N142" s="109"/>
      <c r="O142" s="110"/>
      <c r="P142" s="111"/>
      <c r="R142" s="83" t="s">
        <v>94</v>
      </c>
      <c r="S142" s="84" t="s">
        <v>95</v>
      </c>
      <c r="T142" s="85" t="s">
        <v>90</v>
      </c>
      <c r="U142" s="86">
        <v>3</v>
      </c>
      <c r="V142" s="85"/>
      <c r="W142" s="87"/>
      <c r="X142" s="89"/>
      <c r="Z142" s="83" t="s">
        <v>94</v>
      </c>
      <c r="AA142" s="84" t="s">
        <v>95</v>
      </c>
      <c r="AB142" s="85" t="s">
        <v>90</v>
      </c>
      <c r="AC142" s="86">
        <v>3</v>
      </c>
      <c r="AD142" s="85"/>
      <c r="AE142" s="87"/>
      <c r="AF142" s="89"/>
    </row>
    <row r="143" spans="2:32" x14ac:dyDescent="0.3">
      <c r="B143" s="83" t="s">
        <v>100</v>
      </c>
      <c r="C143" s="84" t="s">
        <v>101</v>
      </c>
      <c r="D143" s="85" t="s">
        <v>90</v>
      </c>
      <c r="E143" s="86">
        <v>2</v>
      </c>
      <c r="F143" s="90"/>
      <c r="G143" s="87"/>
      <c r="H143" s="88"/>
      <c r="J143" s="112" t="s">
        <v>81</v>
      </c>
      <c r="K143" s="106" t="s">
        <v>82</v>
      </c>
      <c r="L143" s="107" t="s">
        <v>90</v>
      </c>
      <c r="M143" s="108">
        <v>1.2</v>
      </c>
      <c r="N143" s="107"/>
      <c r="O143" s="110"/>
      <c r="P143" s="111"/>
      <c r="R143" s="83" t="s">
        <v>100</v>
      </c>
      <c r="S143" s="84" t="s">
        <v>101</v>
      </c>
      <c r="T143" s="85" t="s">
        <v>90</v>
      </c>
      <c r="U143" s="86">
        <v>2</v>
      </c>
      <c r="V143" s="90"/>
      <c r="W143" s="87"/>
      <c r="X143" s="88"/>
      <c r="Z143" s="83" t="s">
        <v>100</v>
      </c>
      <c r="AA143" s="84" t="s">
        <v>101</v>
      </c>
      <c r="AB143" s="85" t="s">
        <v>90</v>
      </c>
      <c r="AC143" s="86">
        <v>2</v>
      </c>
      <c r="AD143" s="90"/>
      <c r="AE143" s="87"/>
      <c r="AF143" s="88"/>
    </row>
    <row r="144" spans="2:32" x14ac:dyDescent="0.3">
      <c r="B144" s="83" t="s">
        <v>91</v>
      </c>
      <c r="C144" s="84" t="s">
        <v>92</v>
      </c>
      <c r="D144" s="85" t="s">
        <v>90</v>
      </c>
      <c r="E144" s="86">
        <v>1.3</v>
      </c>
      <c r="F144" s="85"/>
      <c r="G144" s="87"/>
      <c r="H144" s="89"/>
      <c r="J144" s="112" t="s">
        <v>94</v>
      </c>
      <c r="K144" s="106" t="s">
        <v>95</v>
      </c>
      <c r="L144" s="107" t="s">
        <v>90</v>
      </c>
      <c r="M144" s="108">
        <v>3</v>
      </c>
      <c r="N144" s="107"/>
      <c r="O144" s="110"/>
      <c r="P144" s="114"/>
      <c r="R144" s="83" t="s">
        <v>91</v>
      </c>
      <c r="S144" s="84" t="s">
        <v>92</v>
      </c>
      <c r="T144" s="85" t="s">
        <v>90</v>
      </c>
      <c r="U144" s="86">
        <v>1.3</v>
      </c>
      <c r="V144" s="85"/>
      <c r="W144" s="87"/>
      <c r="X144" s="89"/>
      <c r="Z144" s="83" t="s">
        <v>91</v>
      </c>
      <c r="AA144" s="84" t="s">
        <v>92</v>
      </c>
      <c r="AB144" s="85" t="s">
        <v>90</v>
      </c>
      <c r="AC144" s="86">
        <v>1.3</v>
      </c>
      <c r="AD144" s="85"/>
      <c r="AE144" s="87"/>
      <c r="AF144" s="89"/>
    </row>
    <row r="145" spans="2:32" x14ac:dyDescent="0.3">
      <c r="B145" s="83" t="s">
        <v>106</v>
      </c>
      <c r="C145" s="84" t="s">
        <v>107</v>
      </c>
      <c r="D145" s="85" t="s">
        <v>90</v>
      </c>
      <c r="E145" s="86">
        <v>2</v>
      </c>
      <c r="F145" s="85"/>
      <c r="G145" s="87"/>
      <c r="H145" s="89"/>
      <c r="J145" s="112" t="s">
        <v>100</v>
      </c>
      <c r="K145" s="106" t="s">
        <v>101</v>
      </c>
      <c r="L145" s="107" t="s">
        <v>90</v>
      </c>
      <c r="M145" s="108">
        <v>2</v>
      </c>
      <c r="N145" s="109"/>
      <c r="O145" s="110"/>
      <c r="P145" s="111"/>
      <c r="R145" s="83" t="s">
        <v>106</v>
      </c>
      <c r="S145" s="84" t="s">
        <v>107</v>
      </c>
      <c r="T145" s="85" t="s">
        <v>90</v>
      </c>
      <c r="U145" s="86">
        <v>2</v>
      </c>
      <c r="V145" s="85"/>
      <c r="W145" s="87"/>
      <c r="X145" s="89"/>
      <c r="Z145" s="83" t="s">
        <v>106</v>
      </c>
      <c r="AA145" s="84" t="s">
        <v>107</v>
      </c>
      <c r="AB145" s="85" t="s">
        <v>90</v>
      </c>
      <c r="AC145" s="86">
        <v>2</v>
      </c>
      <c r="AD145" s="85"/>
      <c r="AE145" s="87"/>
      <c r="AF145" s="89"/>
    </row>
    <row r="146" spans="2:32" x14ac:dyDescent="0.3">
      <c r="B146" s="84" t="s">
        <v>116</v>
      </c>
      <c r="C146" s="84" t="s">
        <v>89</v>
      </c>
      <c r="D146" s="85" t="s">
        <v>90</v>
      </c>
      <c r="E146" s="86">
        <v>2.2999999999999998</v>
      </c>
      <c r="F146" s="90"/>
      <c r="G146" s="87"/>
      <c r="H146" s="88"/>
      <c r="J146" s="112" t="s">
        <v>106</v>
      </c>
      <c r="K146" s="106" t="s">
        <v>107</v>
      </c>
      <c r="L146" s="107" t="s">
        <v>90</v>
      </c>
      <c r="M146" s="108">
        <v>2</v>
      </c>
      <c r="N146" s="107"/>
      <c r="O146" s="110"/>
      <c r="P146" s="114"/>
      <c r="R146" s="84" t="s">
        <v>116</v>
      </c>
      <c r="S146" s="84" t="s">
        <v>89</v>
      </c>
      <c r="T146" s="85" t="s">
        <v>90</v>
      </c>
      <c r="U146" s="86">
        <v>2.2999999999999998</v>
      </c>
      <c r="V146" s="90"/>
      <c r="W146" s="87"/>
      <c r="X146" s="88"/>
      <c r="Z146" s="84" t="s">
        <v>116</v>
      </c>
      <c r="AA146" s="84" t="s">
        <v>89</v>
      </c>
      <c r="AB146" s="85" t="s">
        <v>90</v>
      </c>
      <c r="AC146" s="86">
        <v>2.2999999999999998</v>
      </c>
      <c r="AD146" s="90"/>
      <c r="AE146" s="87"/>
      <c r="AF146" s="88"/>
    </row>
    <row r="147" spans="2:32" x14ac:dyDescent="0.3">
      <c r="B147" s="84" t="s">
        <v>118</v>
      </c>
      <c r="C147" s="84" t="s">
        <v>66</v>
      </c>
      <c r="D147" s="85" t="s">
        <v>90</v>
      </c>
      <c r="E147" s="86">
        <v>3</v>
      </c>
      <c r="F147" s="90"/>
      <c r="G147" s="87"/>
      <c r="H147" s="88"/>
      <c r="J147" s="106" t="s">
        <v>116</v>
      </c>
      <c r="K147" s="106" t="s">
        <v>89</v>
      </c>
      <c r="L147" s="107" t="s">
        <v>90</v>
      </c>
      <c r="M147" s="108">
        <v>2.2999999999999998</v>
      </c>
      <c r="N147" s="109"/>
      <c r="O147" s="110"/>
      <c r="P147" s="111"/>
      <c r="R147" s="84" t="s">
        <v>118</v>
      </c>
      <c r="S147" s="84" t="s">
        <v>66</v>
      </c>
      <c r="T147" s="85" t="s">
        <v>90</v>
      </c>
      <c r="U147" s="86">
        <v>3</v>
      </c>
      <c r="V147" s="90"/>
      <c r="W147" s="87"/>
      <c r="X147" s="88"/>
      <c r="Z147" s="84" t="s">
        <v>118</v>
      </c>
      <c r="AA147" s="84" t="s">
        <v>66</v>
      </c>
      <c r="AB147" s="85" t="s">
        <v>90</v>
      </c>
      <c r="AC147" s="86">
        <v>3</v>
      </c>
      <c r="AD147" s="90"/>
      <c r="AE147" s="87"/>
      <c r="AF147" s="88"/>
    </row>
    <row r="148" spans="2:32" x14ac:dyDescent="0.3">
      <c r="B148" s="84" t="s">
        <v>103</v>
      </c>
      <c r="C148" s="84" t="s">
        <v>104</v>
      </c>
      <c r="D148" s="85" t="s">
        <v>90</v>
      </c>
      <c r="E148" s="86">
        <v>2</v>
      </c>
      <c r="F148" s="90"/>
      <c r="G148" s="87"/>
      <c r="H148" s="88"/>
      <c r="J148" s="106" t="s">
        <v>118</v>
      </c>
      <c r="K148" s="106" t="s">
        <v>66</v>
      </c>
      <c r="L148" s="107" t="s">
        <v>90</v>
      </c>
      <c r="M148" s="108">
        <v>3</v>
      </c>
      <c r="N148" s="109"/>
      <c r="O148" s="110"/>
      <c r="P148" s="111"/>
      <c r="R148" s="84" t="s">
        <v>103</v>
      </c>
      <c r="S148" s="84" t="s">
        <v>104</v>
      </c>
      <c r="T148" s="85" t="s">
        <v>90</v>
      </c>
      <c r="U148" s="86">
        <v>2</v>
      </c>
      <c r="V148" s="90"/>
      <c r="W148" s="87"/>
      <c r="X148" s="88"/>
      <c r="Z148" s="84" t="s">
        <v>103</v>
      </c>
      <c r="AA148" s="84" t="s">
        <v>104</v>
      </c>
      <c r="AB148" s="85" t="s">
        <v>90</v>
      </c>
      <c r="AC148" s="86">
        <v>2</v>
      </c>
      <c r="AD148" s="90"/>
      <c r="AE148" s="87"/>
      <c r="AF148" s="88"/>
    </row>
    <row r="149" spans="2:32" x14ac:dyDescent="0.3">
      <c r="B149" s="83" t="s">
        <v>84</v>
      </c>
      <c r="C149" s="84" t="s">
        <v>85</v>
      </c>
      <c r="D149" s="85" t="s">
        <v>90</v>
      </c>
      <c r="E149" s="85">
        <v>1.45</v>
      </c>
      <c r="F149" s="85"/>
      <c r="G149" s="87"/>
      <c r="H149" s="89"/>
      <c r="J149" s="112" t="s">
        <v>84</v>
      </c>
      <c r="K149" s="106" t="s">
        <v>85</v>
      </c>
      <c r="L149" s="107" t="s">
        <v>90</v>
      </c>
      <c r="M149" s="107">
        <v>1.45</v>
      </c>
      <c r="N149" s="107"/>
      <c r="O149" s="110"/>
      <c r="P149" s="114"/>
      <c r="R149" s="83" t="s">
        <v>84</v>
      </c>
      <c r="S149" s="84" t="s">
        <v>85</v>
      </c>
      <c r="T149" s="85" t="s">
        <v>90</v>
      </c>
      <c r="U149" s="85">
        <v>1.45</v>
      </c>
      <c r="V149" s="85"/>
      <c r="W149" s="87"/>
      <c r="X149" s="89"/>
      <c r="Z149" s="83" t="s">
        <v>84</v>
      </c>
      <c r="AA149" s="84" t="s">
        <v>85</v>
      </c>
      <c r="AB149" s="85" t="s">
        <v>90</v>
      </c>
      <c r="AC149" s="85">
        <v>1.45</v>
      </c>
      <c r="AD149" s="85"/>
      <c r="AE149" s="87"/>
      <c r="AF149" s="89"/>
    </row>
    <row r="150" spans="2:32" x14ac:dyDescent="0.3">
      <c r="B150" s="84"/>
      <c r="C150" s="84"/>
      <c r="D150" s="85"/>
      <c r="E150" s="86"/>
      <c r="F150" s="85"/>
      <c r="G150" s="87"/>
      <c r="H150" s="89"/>
      <c r="J150" s="84"/>
      <c r="K150" s="84"/>
      <c r="L150" s="85"/>
      <c r="M150" s="86"/>
      <c r="N150" s="85"/>
      <c r="O150" s="87"/>
      <c r="P150" s="89"/>
      <c r="R150" s="84"/>
      <c r="S150" s="84"/>
      <c r="T150" s="85"/>
      <c r="U150" s="86"/>
      <c r="V150" s="85"/>
      <c r="W150" s="87"/>
      <c r="X150" s="89"/>
      <c r="Z150" s="84"/>
      <c r="AA150" s="84"/>
      <c r="AB150" s="85"/>
      <c r="AC150" s="86"/>
      <c r="AD150" s="85"/>
      <c r="AE150" s="87"/>
      <c r="AF150" s="89"/>
    </row>
    <row r="151" spans="2:32" x14ac:dyDescent="0.3">
      <c r="B151" s="84"/>
      <c r="C151" s="84"/>
      <c r="D151" s="85"/>
      <c r="E151" s="86"/>
      <c r="F151" s="85"/>
      <c r="G151" s="87"/>
      <c r="H151" s="89"/>
      <c r="J151" s="84"/>
      <c r="K151" s="84"/>
      <c r="L151" s="85"/>
      <c r="M151" s="86"/>
      <c r="N151" s="85"/>
      <c r="O151" s="87"/>
      <c r="P151" s="89"/>
      <c r="R151" s="84"/>
      <c r="S151" s="84"/>
      <c r="T151" s="85"/>
      <c r="U151" s="86"/>
      <c r="V151" s="85"/>
      <c r="W151" s="87"/>
      <c r="X151" s="89"/>
      <c r="Z151" s="84"/>
      <c r="AA151" s="84"/>
      <c r="AB151" s="85"/>
      <c r="AC151" s="86"/>
      <c r="AD151" s="85"/>
      <c r="AE151" s="87"/>
      <c r="AF151" s="89"/>
    </row>
    <row r="152" spans="2:32" x14ac:dyDescent="0.3">
      <c r="B152" s="83"/>
      <c r="C152" s="83"/>
      <c r="D152" s="85"/>
      <c r="E152" s="85"/>
      <c r="F152" s="90"/>
      <c r="G152" s="87"/>
      <c r="H152" s="89"/>
      <c r="J152" s="83"/>
      <c r="K152" s="83"/>
      <c r="L152" s="85"/>
      <c r="M152" s="85"/>
      <c r="N152" s="90"/>
      <c r="O152" s="87"/>
      <c r="P152" s="89"/>
      <c r="R152" s="83"/>
      <c r="S152" s="83"/>
      <c r="T152" s="85"/>
      <c r="U152" s="85"/>
      <c r="V152" s="90"/>
      <c r="W152" s="87"/>
      <c r="X152" s="89"/>
      <c r="Z152" s="83"/>
      <c r="AA152" s="83"/>
      <c r="AB152" s="85"/>
      <c r="AC152" s="85"/>
      <c r="AD152" s="90"/>
      <c r="AE152" s="87"/>
      <c r="AF152" s="89"/>
    </row>
    <row r="153" spans="2:32" x14ac:dyDescent="0.3">
      <c r="B153" s="83"/>
      <c r="C153" s="83"/>
      <c r="D153" s="85"/>
      <c r="E153" s="85"/>
      <c r="F153" s="85"/>
      <c r="G153" s="87"/>
      <c r="H153" s="89"/>
      <c r="J153" s="83"/>
      <c r="K153" s="83"/>
      <c r="L153" s="85"/>
      <c r="M153" s="85"/>
      <c r="N153" s="85"/>
      <c r="O153" s="87"/>
      <c r="P153" s="89"/>
      <c r="R153" s="83"/>
      <c r="S153" s="83"/>
      <c r="T153" s="85"/>
      <c r="U153" s="85"/>
      <c r="V153" s="85"/>
      <c r="W153" s="87"/>
      <c r="X153" s="89"/>
      <c r="Z153" s="83"/>
      <c r="AA153" s="83"/>
      <c r="AB153" s="85"/>
      <c r="AC153" s="85"/>
      <c r="AD153" s="85"/>
      <c r="AE153" s="87"/>
      <c r="AF153" s="89"/>
    </row>
    <row r="154" spans="2:32" x14ac:dyDescent="0.3">
      <c r="B154" s="83"/>
      <c r="C154" s="83"/>
      <c r="D154" s="85"/>
      <c r="E154" s="85"/>
      <c r="F154" s="85"/>
      <c r="G154" s="87"/>
      <c r="H154" s="89"/>
      <c r="J154" s="83"/>
      <c r="K154" s="83"/>
      <c r="L154" s="85"/>
      <c r="M154" s="85"/>
      <c r="N154" s="85"/>
      <c r="O154" s="87"/>
      <c r="P154" s="89"/>
      <c r="R154" s="83"/>
      <c r="S154" s="83"/>
      <c r="T154" s="85"/>
      <c r="U154" s="85"/>
      <c r="V154" s="85"/>
      <c r="W154" s="87"/>
      <c r="X154" s="89"/>
      <c r="Z154" s="83"/>
      <c r="AA154" s="83"/>
      <c r="AB154" s="85"/>
      <c r="AC154" s="85"/>
      <c r="AD154" s="85"/>
      <c r="AE154" s="87"/>
      <c r="AF154" s="89"/>
    </row>
    <row r="155" spans="2:32" x14ac:dyDescent="0.3">
      <c r="B155" s="115"/>
      <c r="C155" s="115"/>
      <c r="D155" s="116"/>
      <c r="E155" s="116"/>
      <c r="F155" s="116"/>
      <c r="G155" s="117"/>
      <c r="H155" s="118"/>
      <c r="J155" s="115"/>
      <c r="K155" s="115"/>
      <c r="L155" s="116"/>
      <c r="M155" s="116"/>
      <c r="N155" s="116"/>
      <c r="O155" s="117"/>
      <c r="P155" s="118"/>
      <c r="R155" s="115"/>
      <c r="S155" s="115"/>
      <c r="T155" s="116"/>
      <c r="U155" s="116"/>
      <c r="V155" s="116"/>
      <c r="W155" s="117"/>
      <c r="X155" s="118"/>
      <c r="Z155" s="115"/>
      <c r="AA155" s="115"/>
      <c r="AB155" s="116"/>
      <c r="AC155" s="116"/>
      <c r="AD155" s="116"/>
      <c r="AE155" s="117"/>
      <c r="AF155" s="118"/>
    </row>
  </sheetData>
  <mergeCells count="56">
    <mergeCell ref="Z2:AD2"/>
    <mergeCell ref="AE2:AF2"/>
    <mergeCell ref="B24:F24"/>
    <mergeCell ref="G24:H24"/>
    <mergeCell ref="J24:N24"/>
    <mergeCell ref="O24:P24"/>
    <mergeCell ref="R24:V24"/>
    <mergeCell ref="W24:X24"/>
    <mergeCell ref="Z24:AD24"/>
    <mergeCell ref="AE24:AF24"/>
    <mergeCell ref="B2:F2"/>
    <mergeCell ref="G2:H2"/>
    <mergeCell ref="J2:N2"/>
    <mergeCell ref="O2:P2"/>
    <mergeCell ref="R2:V2"/>
    <mergeCell ref="W2:X2"/>
    <mergeCell ref="Z46:AD46"/>
    <mergeCell ref="AE46:AF46"/>
    <mergeCell ref="B68:F68"/>
    <mergeCell ref="G68:H68"/>
    <mergeCell ref="J68:N68"/>
    <mergeCell ref="O68:P68"/>
    <mergeCell ref="R68:V68"/>
    <mergeCell ref="W68:X68"/>
    <mergeCell ref="Z68:AD68"/>
    <mergeCell ref="AE68:AF68"/>
    <mergeCell ref="B46:F46"/>
    <mergeCell ref="G46:H46"/>
    <mergeCell ref="J46:N46"/>
    <mergeCell ref="O46:P46"/>
    <mergeCell ref="R46:V46"/>
    <mergeCell ref="W46:X46"/>
    <mergeCell ref="Z90:AD90"/>
    <mergeCell ref="AE90:AF90"/>
    <mergeCell ref="B112:F112"/>
    <mergeCell ref="G112:H112"/>
    <mergeCell ref="J112:N112"/>
    <mergeCell ref="O112:P112"/>
    <mergeCell ref="R112:V112"/>
    <mergeCell ref="W112:X112"/>
    <mergeCell ref="Z112:AD112"/>
    <mergeCell ref="AE112:AF112"/>
    <mergeCell ref="B90:F90"/>
    <mergeCell ref="G90:H90"/>
    <mergeCell ref="J90:N90"/>
    <mergeCell ref="O90:P90"/>
    <mergeCell ref="R90:V90"/>
    <mergeCell ref="W90:X90"/>
    <mergeCell ref="Z134:AD134"/>
    <mergeCell ref="AE134:AF134"/>
    <mergeCell ref="B134:F134"/>
    <mergeCell ref="G134:H134"/>
    <mergeCell ref="J134:N134"/>
    <mergeCell ref="O134:P134"/>
    <mergeCell ref="R134:V134"/>
    <mergeCell ref="W134:X134"/>
  </mergeCells>
  <pageMargins left="0.7" right="0.7" top="0.75" bottom="0.75" header="0.3" footer="0.3"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F329-CD70-4361-BBDB-5909F4325F28}">
  <dimension ref="C1:AN33"/>
  <sheetViews>
    <sheetView showGridLines="0" zoomScale="85" zoomScaleNormal="85" workbookViewId="0">
      <selection activeCell="E7" sqref="E7:H7"/>
    </sheetView>
  </sheetViews>
  <sheetFormatPr defaultRowHeight="14.4" x14ac:dyDescent="0.3"/>
  <cols>
    <col min="1" max="1" width="4.33203125" customWidth="1"/>
    <col min="3" max="3" width="0.6640625" customWidth="1"/>
    <col min="4" max="4" width="15" customWidth="1"/>
    <col min="5" max="5" width="12" customWidth="1"/>
    <col min="7" max="7" width="11.33203125" bestFit="1" customWidth="1"/>
    <col min="8" max="8" width="12.6640625" customWidth="1"/>
    <col min="9" max="9" width="1" customWidth="1"/>
    <col min="11" max="11" width="10.5546875" bestFit="1" customWidth="1"/>
    <col min="13" max="13" width="10.33203125" bestFit="1" customWidth="1"/>
    <col min="14" max="15" width="10.33203125" customWidth="1"/>
    <col min="16" max="16" width="12.5546875" customWidth="1"/>
    <col min="17" max="17" width="1" customWidth="1"/>
    <col min="19" max="19" width="11.33203125" bestFit="1" customWidth="1"/>
    <col min="20" max="20" width="33.6640625" customWidth="1"/>
    <col min="21" max="21" width="12" customWidth="1"/>
    <col min="22" max="22" width="1" customWidth="1"/>
    <col min="24" max="24" width="1" customWidth="1"/>
    <col min="25" max="25" width="11.5546875" customWidth="1"/>
    <col min="26" max="26" width="13.33203125" customWidth="1"/>
    <col min="27" max="27" width="10" customWidth="1"/>
    <col min="28" max="28" width="9.44140625" bestFit="1" customWidth="1"/>
    <col min="29" max="30" width="12.109375" customWidth="1"/>
    <col min="31" max="31" width="13.6640625" customWidth="1"/>
    <col min="32" max="32" width="12.6640625" customWidth="1"/>
    <col min="33" max="33" width="16.109375" customWidth="1"/>
    <col min="34" max="34" width="12.5546875" bestFit="1" customWidth="1"/>
    <col min="35" max="35" width="11.6640625" bestFit="1" customWidth="1"/>
    <col min="36" max="36" width="13.109375" customWidth="1"/>
    <col min="37" max="37" width="10.33203125" customWidth="1"/>
    <col min="38" max="39" width="13.6640625" customWidth="1"/>
    <col min="40" max="40" width="1.109375" customWidth="1"/>
  </cols>
  <sheetData>
    <row r="1" spans="3:40" ht="6.6" customHeight="1" thickBot="1" x14ac:dyDescent="0.35">
      <c r="C1" s="130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2"/>
      <c r="X1" s="130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4"/>
    </row>
    <row r="2" spans="3:40" ht="16.2" thickBot="1" x14ac:dyDescent="0.35">
      <c r="C2" s="135"/>
      <c r="D2" s="263" t="s">
        <v>143</v>
      </c>
      <c r="E2" s="264"/>
      <c r="F2" s="264"/>
      <c r="G2" s="264"/>
      <c r="H2" s="265"/>
      <c r="I2" s="136"/>
      <c r="J2" s="254" t="s">
        <v>144</v>
      </c>
      <c r="K2" s="255"/>
      <c r="L2" s="255"/>
      <c r="M2" s="255"/>
      <c r="N2" s="255"/>
      <c r="O2" s="255"/>
      <c r="P2" s="256"/>
      <c r="Q2" s="136"/>
      <c r="R2" s="254" t="s">
        <v>145</v>
      </c>
      <c r="S2" s="255"/>
      <c r="T2" s="255"/>
      <c r="U2" s="256"/>
      <c r="V2" s="137"/>
      <c r="X2" s="135"/>
      <c r="Y2" s="267" t="s">
        <v>146</v>
      </c>
      <c r="Z2" s="268"/>
      <c r="AA2" s="268"/>
      <c r="AB2" s="268"/>
      <c r="AC2" s="268"/>
      <c r="AD2" s="268"/>
      <c r="AE2" s="268"/>
      <c r="AF2" s="268"/>
      <c r="AG2" s="269"/>
      <c r="AH2" s="270" t="s">
        <v>147</v>
      </c>
      <c r="AI2" s="271"/>
      <c r="AJ2" s="271"/>
      <c r="AK2" s="271"/>
      <c r="AL2" s="271"/>
      <c r="AM2" s="272"/>
      <c r="AN2" s="138"/>
    </row>
    <row r="3" spans="3:40" ht="16.2" thickBot="1" x14ac:dyDescent="0.35">
      <c r="C3" s="135"/>
      <c r="D3" s="139" t="s">
        <v>148</v>
      </c>
      <c r="E3" s="273" t="s">
        <v>194</v>
      </c>
      <c r="F3" s="273"/>
      <c r="G3" s="273"/>
      <c r="H3" s="274"/>
      <c r="I3" s="136"/>
      <c r="J3" s="140" t="s">
        <v>10</v>
      </c>
      <c r="K3" s="200" t="s">
        <v>28</v>
      </c>
      <c r="L3" s="182" t="s">
        <v>29</v>
      </c>
      <c r="M3" s="200" t="s">
        <v>149</v>
      </c>
      <c r="N3" s="3" t="s">
        <v>150</v>
      </c>
      <c r="O3" s="3" t="s">
        <v>151</v>
      </c>
      <c r="P3" s="3" t="s">
        <v>150</v>
      </c>
      <c r="Q3" s="136"/>
      <c r="R3" s="140" t="s">
        <v>10</v>
      </c>
      <c r="S3" s="140" t="s">
        <v>3</v>
      </c>
      <c r="T3" s="140" t="s">
        <v>152</v>
      </c>
      <c r="U3" s="3" t="s">
        <v>150</v>
      </c>
      <c r="V3" s="137"/>
      <c r="X3" s="135"/>
      <c r="Y3" s="141" t="s">
        <v>10</v>
      </c>
      <c r="Z3" s="142" t="s">
        <v>28</v>
      </c>
      <c r="AA3" s="142" t="s">
        <v>29</v>
      </c>
      <c r="AB3" s="142" t="s">
        <v>149</v>
      </c>
      <c r="AC3" s="142" t="s">
        <v>153</v>
      </c>
      <c r="AD3" s="142" t="s">
        <v>126</v>
      </c>
      <c r="AE3" s="142" t="s">
        <v>154</v>
      </c>
      <c r="AF3" s="142" t="s">
        <v>151</v>
      </c>
      <c r="AG3" s="143" t="s">
        <v>155</v>
      </c>
      <c r="AH3" s="141" t="s">
        <v>156</v>
      </c>
      <c r="AI3" s="142" t="s">
        <v>157</v>
      </c>
      <c r="AJ3" s="142" t="s">
        <v>158</v>
      </c>
      <c r="AK3" s="142" t="s">
        <v>159</v>
      </c>
      <c r="AL3" s="142" t="s">
        <v>160</v>
      </c>
      <c r="AM3" s="143" t="s">
        <v>161</v>
      </c>
      <c r="AN3" s="138"/>
    </row>
    <row r="4" spans="3:40" x14ac:dyDescent="0.3">
      <c r="C4" s="135"/>
      <c r="D4" s="139" t="s">
        <v>162</v>
      </c>
      <c r="E4" s="266">
        <v>46209</v>
      </c>
      <c r="F4" s="259"/>
      <c r="G4" s="259"/>
      <c r="H4" s="260"/>
      <c r="I4" s="136"/>
      <c r="J4" s="144">
        <v>46307</v>
      </c>
      <c r="K4" s="201" t="s">
        <v>183</v>
      </c>
      <c r="L4" s="201">
        <v>593</v>
      </c>
      <c r="M4" s="201">
        <v>34</v>
      </c>
      <c r="N4" s="146">
        <v>250</v>
      </c>
      <c r="O4" s="146"/>
      <c r="P4" s="147">
        <f>N4+O4</f>
        <v>250</v>
      </c>
      <c r="Q4" s="136"/>
      <c r="R4" s="148"/>
      <c r="S4" s="145"/>
      <c r="T4" s="145"/>
      <c r="U4" s="147"/>
      <c r="V4" s="137"/>
      <c r="X4" s="135"/>
      <c r="Y4" s="149">
        <v>46307</v>
      </c>
      <c r="Z4" s="150" t="s">
        <v>183</v>
      </c>
      <c r="AA4" s="150">
        <v>593</v>
      </c>
      <c r="AB4" s="150">
        <v>34</v>
      </c>
      <c r="AC4" s="151"/>
      <c r="AD4" s="151">
        <v>250</v>
      </c>
      <c r="AE4" s="151">
        <f>Table162022[[#This Row],[STOPS]]*Table162022[[#This Row],[PRICE]]+Table162022[[#This Row],[DAY RATE]]</f>
        <v>250</v>
      </c>
      <c r="AF4" s="152"/>
      <c r="AG4" s="153">
        <f>Table162022[[#This Row],[STOPS PAID]]+Table162022[[#This Row],[EXTRA]]</f>
        <v>250</v>
      </c>
      <c r="AH4" s="154">
        <v>135.03</v>
      </c>
      <c r="AI4" s="152"/>
      <c r="AJ4" s="152"/>
      <c r="AK4" s="152">
        <v>114.97</v>
      </c>
      <c r="AL4" s="152">
        <f>Table162022[[#This Row],[TOP UP]]+Table162022[[#This Row],[EXTRA RUN]]+Table162022[[#This Row],[SEC. RUN]]+Table162022[[#This Row],[FIRST RUN]]</f>
        <v>250</v>
      </c>
      <c r="AM4" s="155">
        <f>Table162022[[#This Row],[TOTAL PAID]]-Table162022[[#This Row],[TOTAL AGREED]]</f>
        <v>0</v>
      </c>
      <c r="AN4" s="138"/>
    </row>
    <row r="5" spans="3:40" x14ac:dyDescent="0.3">
      <c r="C5" s="135"/>
      <c r="D5" s="139" t="s">
        <v>30</v>
      </c>
      <c r="E5" s="259" t="s">
        <v>195</v>
      </c>
      <c r="F5" s="259"/>
      <c r="G5" s="259"/>
      <c r="H5" s="260"/>
      <c r="I5" s="136"/>
      <c r="J5" s="144">
        <v>46308</v>
      </c>
      <c r="K5" s="201" t="s">
        <v>183</v>
      </c>
      <c r="L5" s="201">
        <v>305</v>
      </c>
      <c r="M5" s="202">
        <v>29</v>
      </c>
      <c r="N5" s="156">
        <v>250</v>
      </c>
      <c r="O5" s="156"/>
      <c r="P5" s="147">
        <f t="shared" ref="P5:P31" si="0">N5+O5</f>
        <v>250</v>
      </c>
      <c r="Q5" s="136"/>
      <c r="R5" s="9"/>
      <c r="S5" s="10"/>
      <c r="T5" s="10"/>
      <c r="U5" s="157"/>
      <c r="V5" s="137"/>
      <c r="X5" s="135"/>
      <c r="Y5" s="149">
        <v>46308</v>
      </c>
      <c r="Z5" s="150" t="s">
        <v>184</v>
      </c>
      <c r="AA5" s="150">
        <v>305</v>
      </c>
      <c r="AB5" s="158">
        <v>29</v>
      </c>
      <c r="AC5" s="159"/>
      <c r="AD5" s="159">
        <v>250</v>
      </c>
      <c r="AE5" s="159">
        <f>Table162022[[#This Row],[STOPS]]*Table162022[[#This Row],[PRICE]]+Table162022[[#This Row],[DAY RATE]]</f>
        <v>250</v>
      </c>
      <c r="AF5" s="160"/>
      <c r="AG5" s="153">
        <f>Table162022[[#This Row],[STOPS PAID]]+Table162022[[#This Row],[EXTRA]]</f>
        <v>250</v>
      </c>
      <c r="AH5" s="154">
        <v>120.18</v>
      </c>
      <c r="AI5" s="152"/>
      <c r="AJ5" s="152"/>
      <c r="AK5" s="152">
        <v>129.82</v>
      </c>
      <c r="AL5" s="152">
        <f>Table162022[[#This Row],[TOP UP]]+Table162022[[#This Row],[EXTRA RUN]]+Table162022[[#This Row],[SEC. RUN]]+Table162022[[#This Row],[FIRST RUN]]</f>
        <v>250</v>
      </c>
      <c r="AM5" s="155">
        <f>Table162022[[#This Row],[TOTAL PAID]]-Table162022[[#This Row],[TOTAL AGREED]]</f>
        <v>0</v>
      </c>
      <c r="AN5" s="138"/>
    </row>
    <row r="6" spans="3:40" x14ac:dyDescent="0.3">
      <c r="C6" s="135"/>
      <c r="D6" s="139" t="s">
        <v>163</v>
      </c>
      <c r="E6" s="259" t="s">
        <v>183</v>
      </c>
      <c r="F6" s="259"/>
      <c r="G6" s="259"/>
      <c r="H6" s="260"/>
      <c r="I6" s="136"/>
      <c r="J6" s="144">
        <v>46309</v>
      </c>
      <c r="K6" s="201" t="s">
        <v>183</v>
      </c>
      <c r="L6" s="201">
        <v>593</v>
      </c>
      <c r="M6" s="201">
        <v>22</v>
      </c>
      <c r="N6" s="156">
        <v>250</v>
      </c>
      <c r="O6" s="156"/>
      <c r="P6" s="147">
        <f t="shared" si="0"/>
        <v>250</v>
      </c>
      <c r="Q6" s="136"/>
      <c r="R6" s="9"/>
      <c r="S6" s="10"/>
      <c r="T6" s="10"/>
      <c r="U6" s="157"/>
      <c r="V6" s="137"/>
      <c r="X6" s="135"/>
      <c r="Y6" s="161">
        <v>46309</v>
      </c>
      <c r="Z6" s="162" t="s">
        <v>185</v>
      </c>
      <c r="AA6" s="162">
        <v>593</v>
      </c>
      <c r="AB6" s="162">
        <v>22</v>
      </c>
      <c r="AC6" s="163"/>
      <c r="AD6" s="163">
        <v>250</v>
      </c>
      <c r="AE6" s="163">
        <f>Table162022[[#This Row],[STOPS]]*Table162022[[#This Row],[PRICE]]+Table162022[[#This Row],[DAY RATE]]</f>
        <v>250</v>
      </c>
      <c r="AF6" s="164"/>
      <c r="AG6" s="165">
        <f>Table162022[[#This Row],[STOPS PAID]]+Table162022[[#This Row],[EXTRA]]</f>
        <v>250</v>
      </c>
      <c r="AH6" s="166">
        <v>49.06</v>
      </c>
      <c r="AI6" s="164"/>
      <c r="AJ6" s="164"/>
      <c r="AK6" s="164">
        <v>143.52000000000001</v>
      </c>
      <c r="AL6" s="164">
        <f>Table162022[[#This Row],[TOP UP]]+Table162022[[#This Row],[EXTRA RUN]]+Table162022[[#This Row],[SEC. RUN]]+Table162022[[#This Row],[FIRST RUN]]</f>
        <v>192.58</v>
      </c>
      <c r="AM6" s="167">
        <f>Table162022[[#This Row],[TOTAL PAID]]-Table162022[[#This Row],[TOTAL AGREED]]</f>
        <v>-57.419999999999987</v>
      </c>
      <c r="AN6" s="138"/>
    </row>
    <row r="7" spans="3:40" x14ac:dyDescent="0.3">
      <c r="C7" s="135"/>
      <c r="D7" s="139" t="s">
        <v>164</v>
      </c>
      <c r="E7" s="259" t="s">
        <v>196</v>
      </c>
      <c r="F7" s="259"/>
      <c r="G7" s="259"/>
      <c r="H7" s="260"/>
      <c r="I7" s="136"/>
      <c r="J7" s="144">
        <v>46310</v>
      </c>
      <c r="K7" s="201" t="s">
        <v>183</v>
      </c>
      <c r="L7" s="201">
        <v>593</v>
      </c>
      <c r="M7" s="202">
        <v>25</v>
      </c>
      <c r="N7" s="156">
        <v>250</v>
      </c>
      <c r="O7" s="156"/>
      <c r="P7" s="147">
        <f t="shared" si="0"/>
        <v>250</v>
      </c>
      <c r="Q7" s="136"/>
      <c r="R7" s="9"/>
      <c r="S7" s="10"/>
      <c r="T7" s="10"/>
      <c r="U7" s="157"/>
      <c r="V7" s="137"/>
      <c r="X7" s="135"/>
      <c r="Y7" s="149">
        <v>46310</v>
      </c>
      <c r="Z7" s="150" t="s">
        <v>186</v>
      </c>
      <c r="AA7" s="150">
        <v>593</v>
      </c>
      <c r="AB7" s="158">
        <v>25</v>
      </c>
      <c r="AC7" s="159"/>
      <c r="AD7" s="159">
        <v>250</v>
      </c>
      <c r="AE7" s="159">
        <f>Table162022[[#This Row],[STOPS]]*Table162022[[#This Row],[PRICE]]+Table162022[[#This Row],[DAY RATE]]</f>
        <v>250</v>
      </c>
      <c r="AF7" s="160"/>
      <c r="AG7" s="153">
        <f>Table162022[[#This Row],[STOPS PAID]]+Table162022[[#This Row],[EXTRA]]</f>
        <v>250</v>
      </c>
      <c r="AH7" s="154">
        <v>116.3</v>
      </c>
      <c r="AI7" s="152"/>
      <c r="AJ7" s="152"/>
      <c r="AK7" s="152">
        <v>133.69999999999999</v>
      </c>
      <c r="AL7" s="152">
        <f>Table162022[[#This Row],[TOP UP]]+Table162022[[#This Row],[EXTRA RUN]]+Table162022[[#This Row],[SEC. RUN]]+Table162022[[#This Row],[FIRST RUN]]</f>
        <v>250</v>
      </c>
      <c r="AM7" s="155">
        <f>Table162022[[#This Row],[TOTAL PAID]]-Table162022[[#This Row],[TOTAL AGREED]]</f>
        <v>0</v>
      </c>
      <c r="AN7" s="138"/>
    </row>
    <row r="8" spans="3:40" x14ac:dyDescent="0.3">
      <c r="C8" s="135"/>
      <c r="D8" s="139" t="s">
        <v>165</v>
      </c>
      <c r="E8" s="259"/>
      <c r="F8" s="259"/>
      <c r="G8" s="259"/>
      <c r="H8" s="260"/>
      <c r="I8" s="136"/>
      <c r="J8" s="144">
        <v>46311</v>
      </c>
      <c r="K8" s="201" t="s">
        <v>183</v>
      </c>
      <c r="L8" s="201">
        <v>593</v>
      </c>
      <c r="M8" s="201">
        <v>13</v>
      </c>
      <c r="N8" s="156">
        <v>250</v>
      </c>
      <c r="O8" s="156"/>
      <c r="P8" s="147">
        <f t="shared" si="0"/>
        <v>250</v>
      </c>
      <c r="Q8" s="136"/>
      <c r="R8" s="9"/>
      <c r="S8" s="10"/>
      <c r="T8" s="10"/>
      <c r="U8" s="157"/>
      <c r="V8" s="137"/>
      <c r="X8" s="135"/>
      <c r="Y8" s="149">
        <v>46311</v>
      </c>
      <c r="Z8" s="150" t="s">
        <v>187</v>
      </c>
      <c r="AA8" s="150">
        <v>593</v>
      </c>
      <c r="AB8" s="150">
        <v>13</v>
      </c>
      <c r="AC8" s="151"/>
      <c r="AD8" s="151">
        <v>250</v>
      </c>
      <c r="AE8" s="151">
        <f>Table162022[[#This Row],[STOPS]]*Table162022[[#This Row],[PRICE]]+Table162022[[#This Row],[DAY RATE]]</f>
        <v>250</v>
      </c>
      <c r="AF8" s="152"/>
      <c r="AG8" s="153">
        <f>Table162022[[#This Row],[STOPS PAID]]+Table162022[[#This Row],[EXTRA]]</f>
        <v>250</v>
      </c>
      <c r="AH8" s="154">
        <v>67.75</v>
      </c>
      <c r="AI8" s="152"/>
      <c r="AJ8" s="152"/>
      <c r="AK8" s="152">
        <v>182.25</v>
      </c>
      <c r="AL8" s="152">
        <f>Table162022[[#This Row],[TOP UP]]+Table162022[[#This Row],[EXTRA RUN]]+Table162022[[#This Row],[SEC. RUN]]+Table162022[[#This Row],[FIRST RUN]]</f>
        <v>250</v>
      </c>
      <c r="AM8" s="155">
        <f>Table162022[[#This Row],[TOTAL PAID]]-Table162022[[#This Row],[TOTAL AGREED]]</f>
        <v>0</v>
      </c>
      <c r="AN8" s="138"/>
    </row>
    <row r="9" spans="3:40" x14ac:dyDescent="0.3">
      <c r="C9" s="135"/>
      <c r="D9" s="139" t="s">
        <v>166</v>
      </c>
      <c r="E9" s="259">
        <v>7851478522</v>
      </c>
      <c r="F9" s="259"/>
      <c r="G9" s="259"/>
      <c r="H9" s="260"/>
      <c r="I9" s="136"/>
      <c r="J9" s="168">
        <v>46312</v>
      </c>
      <c r="K9" s="201"/>
      <c r="L9" s="201"/>
      <c r="M9" s="201"/>
      <c r="N9" s="156"/>
      <c r="O9" s="156"/>
      <c r="P9" s="147">
        <f t="shared" si="0"/>
        <v>0</v>
      </c>
      <c r="Q9" s="136"/>
      <c r="R9" s="9"/>
      <c r="S9" s="10"/>
      <c r="T9" s="10"/>
      <c r="U9" s="157"/>
      <c r="V9" s="137"/>
      <c r="X9" s="135"/>
      <c r="Y9" s="169">
        <v>46312</v>
      </c>
      <c r="Z9" s="150"/>
      <c r="AA9" s="150"/>
      <c r="AB9" s="150"/>
      <c r="AC9" s="151"/>
      <c r="AD9" s="151"/>
      <c r="AE9" s="151">
        <f>Table162022[[#This Row],[STOPS]]*Table162022[[#This Row],[PRICE]]+Table162022[[#This Row],[DAY RATE]]</f>
        <v>0</v>
      </c>
      <c r="AF9" s="152"/>
      <c r="AG9" s="153">
        <f>Table162022[[#This Row],[STOPS PAID]]+Table162022[[#This Row],[EXTRA]]</f>
        <v>0</v>
      </c>
      <c r="AH9" s="154"/>
      <c r="AI9" s="152"/>
      <c r="AJ9" s="152"/>
      <c r="AK9" s="152"/>
      <c r="AL9" s="152">
        <f>Table162022[[#This Row],[TOP UP]]+Table162022[[#This Row],[EXTRA RUN]]+Table162022[[#This Row],[SEC. RUN]]+Table162022[[#This Row],[FIRST RUN]]</f>
        <v>0</v>
      </c>
      <c r="AM9" s="155">
        <f>Table162022[[#This Row],[TOTAL PAID]]-Table162022[[#This Row],[TOTAL AGREED]]</f>
        <v>0</v>
      </c>
      <c r="AN9" s="138"/>
    </row>
    <row r="10" spans="3:40" x14ac:dyDescent="0.3">
      <c r="C10" s="135"/>
      <c r="D10" s="139" t="s">
        <v>167</v>
      </c>
      <c r="E10" s="259" t="s">
        <v>197</v>
      </c>
      <c r="F10" s="259"/>
      <c r="G10" s="259"/>
      <c r="H10" s="260"/>
      <c r="I10" s="136"/>
      <c r="J10" s="170">
        <v>46313</v>
      </c>
      <c r="K10" s="201"/>
      <c r="L10" s="201"/>
      <c r="M10" s="201"/>
      <c r="N10" s="156"/>
      <c r="O10" s="156"/>
      <c r="P10" s="147">
        <f t="shared" si="0"/>
        <v>0</v>
      </c>
      <c r="Q10" s="136"/>
      <c r="R10" s="9"/>
      <c r="S10" s="10"/>
      <c r="T10" s="10"/>
      <c r="U10" s="157"/>
      <c r="V10" s="137"/>
      <c r="X10" s="135"/>
      <c r="Y10" s="171">
        <v>46313</v>
      </c>
      <c r="Z10" s="150"/>
      <c r="AA10" s="150"/>
      <c r="AB10" s="150"/>
      <c r="AC10" s="151"/>
      <c r="AD10" s="151"/>
      <c r="AE10" s="151">
        <f>Table162022[[#This Row],[STOPS]]*Table162022[[#This Row],[PRICE]]+Table162022[[#This Row],[DAY RATE]]</f>
        <v>0</v>
      </c>
      <c r="AF10" s="152"/>
      <c r="AG10" s="153">
        <f>Table162022[[#This Row],[STOPS PAID]]+Table162022[[#This Row],[EXTRA]]</f>
        <v>0</v>
      </c>
      <c r="AH10" s="154"/>
      <c r="AI10" s="152"/>
      <c r="AJ10" s="152"/>
      <c r="AK10" s="152"/>
      <c r="AL10" s="152">
        <f>Table162022[[#This Row],[TOP UP]]+Table162022[[#This Row],[EXTRA RUN]]+Table162022[[#This Row],[SEC. RUN]]+Table162022[[#This Row],[FIRST RUN]]</f>
        <v>0</v>
      </c>
      <c r="AM10" s="155">
        <f>Table162022[[#This Row],[TOTAL PAID]]-Table162022[[#This Row],[TOTAL AGREED]]</f>
        <v>0</v>
      </c>
      <c r="AN10" s="138"/>
    </row>
    <row r="11" spans="3:40" x14ac:dyDescent="0.3">
      <c r="C11" s="135"/>
      <c r="D11" s="139" t="s">
        <v>168</v>
      </c>
      <c r="E11" s="261" t="s">
        <v>198</v>
      </c>
      <c r="F11" s="261"/>
      <c r="G11" s="261"/>
      <c r="H11" s="262"/>
      <c r="I11" s="136"/>
      <c r="J11" s="144">
        <v>46314</v>
      </c>
      <c r="K11" s="201" t="s">
        <v>183</v>
      </c>
      <c r="L11" s="201">
        <v>593</v>
      </c>
      <c r="M11" s="201">
        <v>8</v>
      </c>
      <c r="N11" s="156">
        <v>250</v>
      </c>
      <c r="O11" s="156"/>
      <c r="P11" s="147">
        <f t="shared" si="0"/>
        <v>250</v>
      </c>
      <c r="Q11" s="136"/>
      <c r="R11" s="9"/>
      <c r="S11" s="10"/>
      <c r="T11" s="10"/>
      <c r="U11" s="157"/>
      <c r="V11" s="137"/>
      <c r="X11" s="135"/>
      <c r="Y11" s="149">
        <v>46314</v>
      </c>
      <c r="Z11" s="150" t="s">
        <v>188</v>
      </c>
      <c r="AA11" s="150">
        <v>593</v>
      </c>
      <c r="AB11" s="150">
        <v>8</v>
      </c>
      <c r="AC11" s="151"/>
      <c r="AD11" s="151">
        <v>250</v>
      </c>
      <c r="AE11" s="151">
        <f>Table162022[[#This Row],[STOPS]]*Table162022[[#This Row],[PRICE]]+Table162022[[#This Row],[DAY RATE]]</f>
        <v>250</v>
      </c>
      <c r="AF11" s="152"/>
      <c r="AG11" s="153">
        <f>Table162022[[#This Row],[STOPS PAID]]+Table162022[[#This Row],[EXTRA]]</f>
        <v>250</v>
      </c>
      <c r="AH11" s="154">
        <v>17.93</v>
      </c>
      <c r="AI11" s="152"/>
      <c r="AJ11" s="152"/>
      <c r="AK11" s="152">
        <v>232.07</v>
      </c>
      <c r="AL11" s="152">
        <f>Table162022[[#This Row],[TOP UP]]+Table162022[[#This Row],[EXTRA RUN]]+Table162022[[#This Row],[SEC. RUN]]+Table162022[[#This Row],[FIRST RUN]]</f>
        <v>250</v>
      </c>
      <c r="AM11" s="155">
        <f>Table162022[[#This Row],[TOTAL PAID]]-Table162022[[#This Row],[TOTAL AGREED]]</f>
        <v>0</v>
      </c>
      <c r="AN11" s="138"/>
    </row>
    <row r="12" spans="3:40" x14ac:dyDescent="0.3">
      <c r="C12" s="135"/>
      <c r="D12" s="139" t="s">
        <v>169</v>
      </c>
      <c r="E12" s="259" t="s">
        <v>199</v>
      </c>
      <c r="F12" s="259"/>
      <c r="G12" s="259"/>
      <c r="H12" s="260"/>
      <c r="I12" s="136"/>
      <c r="J12" s="144">
        <v>46315</v>
      </c>
      <c r="K12" s="201" t="s">
        <v>189</v>
      </c>
      <c r="L12" s="201">
        <v>305</v>
      </c>
      <c r="M12" s="201">
        <v>29</v>
      </c>
      <c r="N12" s="156">
        <v>250</v>
      </c>
      <c r="O12" s="156"/>
      <c r="P12" s="147">
        <f t="shared" si="0"/>
        <v>250</v>
      </c>
      <c r="Q12" s="136"/>
      <c r="R12" s="9"/>
      <c r="S12" s="10"/>
      <c r="T12" s="10"/>
      <c r="U12" s="157"/>
      <c r="V12" s="137"/>
      <c r="X12" s="135"/>
      <c r="Y12" s="149">
        <v>46315</v>
      </c>
      <c r="Z12" s="150" t="s">
        <v>189</v>
      </c>
      <c r="AA12" s="150">
        <v>305</v>
      </c>
      <c r="AB12" s="150">
        <v>29</v>
      </c>
      <c r="AC12" s="151"/>
      <c r="AD12" s="151">
        <v>250</v>
      </c>
      <c r="AE12" s="151">
        <f>Table162022[[#This Row],[STOPS]]*Table162022[[#This Row],[PRICE]]+Table162022[[#This Row],[DAY RATE]]</f>
        <v>250</v>
      </c>
      <c r="AF12" s="152"/>
      <c r="AG12" s="153">
        <f>Table162022[[#This Row],[STOPS PAID]]+Table162022[[#This Row],[EXTRA]]</f>
        <v>250</v>
      </c>
      <c r="AH12" s="154">
        <v>117.65</v>
      </c>
      <c r="AI12" s="152"/>
      <c r="AJ12" s="152"/>
      <c r="AK12" s="152">
        <v>132.35</v>
      </c>
      <c r="AL12" s="152">
        <f>Table162022[[#This Row],[TOP UP]]+Table162022[[#This Row],[EXTRA RUN]]+Table162022[[#This Row],[SEC. RUN]]+Table162022[[#This Row],[FIRST RUN]]</f>
        <v>250</v>
      </c>
      <c r="AM12" s="155">
        <f>Table162022[[#This Row],[TOTAL PAID]]-Table162022[[#This Row],[TOTAL AGREED]]</f>
        <v>0</v>
      </c>
      <c r="AN12" s="138"/>
    </row>
    <row r="13" spans="3:40" x14ac:dyDescent="0.3">
      <c r="C13" s="135"/>
      <c r="D13" s="229" t="s">
        <v>170</v>
      </c>
      <c r="E13" s="230"/>
      <c r="F13" s="230"/>
      <c r="G13" s="230"/>
      <c r="H13" s="231"/>
      <c r="I13" s="136"/>
      <c r="J13" s="144">
        <v>46316</v>
      </c>
      <c r="K13" s="201" t="s">
        <v>183</v>
      </c>
      <c r="L13" s="201">
        <v>593</v>
      </c>
      <c r="M13" s="201">
        <v>29</v>
      </c>
      <c r="N13" s="156">
        <v>250</v>
      </c>
      <c r="O13" s="156"/>
      <c r="P13" s="147">
        <f t="shared" si="0"/>
        <v>250</v>
      </c>
      <c r="Q13" s="136"/>
      <c r="R13" s="9"/>
      <c r="S13" s="10"/>
      <c r="T13" s="10"/>
      <c r="U13" s="157"/>
      <c r="V13" s="137"/>
      <c r="X13" s="135"/>
      <c r="Y13" s="149">
        <v>46316</v>
      </c>
      <c r="Z13" s="150" t="s">
        <v>190</v>
      </c>
      <c r="AA13" s="150">
        <v>593</v>
      </c>
      <c r="AB13" s="150">
        <v>29</v>
      </c>
      <c r="AC13" s="151"/>
      <c r="AD13" s="151">
        <v>250</v>
      </c>
      <c r="AE13" s="151">
        <f>Table162022[[#This Row],[STOPS]]*Table162022[[#This Row],[PRICE]]+Table162022[[#This Row],[DAY RATE]]</f>
        <v>250</v>
      </c>
      <c r="AF13" s="152"/>
      <c r="AG13" s="153">
        <f>Table162022[[#This Row],[STOPS PAID]]+Table162022[[#This Row],[EXTRA]]</f>
        <v>250</v>
      </c>
      <c r="AH13" s="154">
        <v>126.7</v>
      </c>
      <c r="AI13" s="152"/>
      <c r="AJ13" s="152"/>
      <c r="AK13" s="152">
        <v>123.3</v>
      </c>
      <c r="AL13" s="152">
        <f>Table162022[[#This Row],[TOP UP]]+Table162022[[#This Row],[EXTRA RUN]]+Table162022[[#This Row],[SEC. RUN]]+Table162022[[#This Row],[FIRST RUN]]</f>
        <v>250</v>
      </c>
      <c r="AM13" s="155">
        <f>Table162022[[#This Row],[TOTAL PAID]]-Table162022[[#This Row],[TOTAL AGREED]]</f>
        <v>0</v>
      </c>
      <c r="AN13" s="138"/>
    </row>
    <row r="14" spans="3:40" ht="15" thickBot="1" x14ac:dyDescent="0.35">
      <c r="C14" s="135"/>
      <c r="D14" s="232"/>
      <c r="E14" s="233"/>
      <c r="F14" s="233"/>
      <c r="G14" s="233"/>
      <c r="H14" s="234"/>
      <c r="I14" s="136"/>
      <c r="J14" s="144">
        <v>46317</v>
      </c>
      <c r="K14" s="201" t="s">
        <v>183</v>
      </c>
      <c r="L14" s="201">
        <v>207</v>
      </c>
      <c r="M14" s="201">
        <v>95</v>
      </c>
      <c r="N14" s="156">
        <v>201.9</v>
      </c>
      <c r="O14" s="156"/>
      <c r="P14" s="147">
        <f t="shared" si="0"/>
        <v>201.9</v>
      </c>
      <c r="Q14" s="136"/>
      <c r="R14" s="9"/>
      <c r="S14" s="10"/>
      <c r="T14" s="10"/>
      <c r="U14" s="157"/>
      <c r="V14" s="137"/>
      <c r="X14" s="135"/>
      <c r="Y14" s="149">
        <v>46317</v>
      </c>
      <c r="Z14" s="150" t="s">
        <v>191</v>
      </c>
      <c r="AA14" s="150">
        <v>207</v>
      </c>
      <c r="AB14" s="150">
        <v>95</v>
      </c>
      <c r="AC14" s="151"/>
      <c r="AD14" s="151">
        <v>201.9</v>
      </c>
      <c r="AE14" s="151">
        <f>Table162022[[#This Row],[STOPS]]*Table162022[[#This Row],[PRICE]]+Table162022[[#This Row],[DAY RATE]]</f>
        <v>201.9</v>
      </c>
      <c r="AF14" s="152"/>
      <c r="AG14" s="153">
        <f>Table162022[[#This Row],[STOPS PAID]]+Table162022[[#This Row],[EXTRA]]</f>
        <v>201.9</v>
      </c>
      <c r="AH14" s="154">
        <v>201.9</v>
      </c>
      <c r="AI14" s="152"/>
      <c r="AJ14" s="152"/>
      <c r="AK14" s="152"/>
      <c r="AL14" s="152">
        <f>Table162022[[#This Row],[TOP UP]]+Table162022[[#This Row],[EXTRA RUN]]+Table162022[[#This Row],[SEC. RUN]]+Table162022[[#This Row],[FIRST RUN]]</f>
        <v>201.9</v>
      </c>
      <c r="AM14" s="155">
        <f>Table162022[[#This Row],[TOTAL PAID]]-Table162022[[#This Row],[TOTAL AGREED]]</f>
        <v>0</v>
      </c>
      <c r="AN14" s="138"/>
    </row>
    <row r="15" spans="3:40" ht="15" thickBot="1" x14ac:dyDescent="0.35">
      <c r="C15" s="135"/>
      <c r="D15" s="136"/>
      <c r="E15" s="136"/>
      <c r="F15" s="136"/>
      <c r="G15" s="136"/>
      <c r="H15" s="136"/>
      <c r="I15" s="136"/>
      <c r="J15" s="144">
        <v>46318</v>
      </c>
      <c r="K15" s="201" t="s">
        <v>183</v>
      </c>
      <c r="L15" s="201">
        <v>203</v>
      </c>
      <c r="M15" s="201">
        <v>38</v>
      </c>
      <c r="N15" s="156">
        <v>250</v>
      </c>
      <c r="O15" s="156"/>
      <c r="P15" s="147">
        <f t="shared" si="0"/>
        <v>250</v>
      </c>
      <c r="Q15" s="136"/>
      <c r="R15" s="9"/>
      <c r="S15" s="10"/>
      <c r="T15" s="10"/>
      <c r="U15" s="157"/>
      <c r="V15" s="137"/>
      <c r="X15" s="135"/>
      <c r="Y15" s="149">
        <v>46318</v>
      </c>
      <c r="Z15" s="150" t="s">
        <v>192</v>
      </c>
      <c r="AA15" s="150">
        <v>203</v>
      </c>
      <c r="AB15" s="150">
        <v>38</v>
      </c>
      <c r="AC15" s="151"/>
      <c r="AD15" s="151">
        <v>250</v>
      </c>
      <c r="AE15" s="151">
        <f>Table162022[[#This Row],[STOPS]]*Table162022[[#This Row],[PRICE]]+Table162022[[#This Row],[DAY RATE]]</f>
        <v>250</v>
      </c>
      <c r="AF15" s="152"/>
      <c r="AG15" s="153">
        <f>Table162022[[#This Row],[STOPS PAID]]+Table162022[[#This Row],[EXTRA]]</f>
        <v>250</v>
      </c>
      <c r="AH15" s="154">
        <v>127.04</v>
      </c>
      <c r="AI15" s="152"/>
      <c r="AJ15" s="152"/>
      <c r="AK15" s="152">
        <v>122.96</v>
      </c>
      <c r="AL15" s="152">
        <f>Table162022[[#This Row],[TOP UP]]+Table162022[[#This Row],[EXTRA RUN]]+Table162022[[#This Row],[SEC. RUN]]+Table162022[[#This Row],[FIRST RUN]]</f>
        <v>250</v>
      </c>
      <c r="AM15" s="155">
        <f>Table162022[[#This Row],[TOTAL PAID]]-Table162022[[#This Row],[TOTAL AGREED]]</f>
        <v>0</v>
      </c>
      <c r="AN15" s="138"/>
    </row>
    <row r="16" spans="3:40" ht="15" thickBot="1" x14ac:dyDescent="0.35">
      <c r="C16" s="135"/>
      <c r="D16" s="263" t="s">
        <v>171</v>
      </c>
      <c r="E16" s="264"/>
      <c r="F16" s="264"/>
      <c r="G16" s="264"/>
      <c r="H16" s="265"/>
      <c r="I16" s="136"/>
      <c r="J16" s="168">
        <v>46319</v>
      </c>
      <c r="K16" s="201" t="s">
        <v>193</v>
      </c>
      <c r="L16" s="201">
        <v>802</v>
      </c>
      <c r="M16" s="201">
        <v>94</v>
      </c>
      <c r="N16" s="156">
        <v>195.94</v>
      </c>
      <c r="O16" s="156"/>
      <c r="P16" s="147">
        <f t="shared" si="0"/>
        <v>195.94</v>
      </c>
      <c r="Q16" s="136"/>
      <c r="R16" s="172"/>
      <c r="S16" s="173"/>
      <c r="T16" s="173" t="s">
        <v>172</v>
      </c>
      <c r="U16" s="174">
        <f>SUM(U4:U15)</f>
        <v>0</v>
      </c>
      <c r="V16" s="137"/>
      <c r="X16" s="135"/>
      <c r="Y16" s="169">
        <v>46319</v>
      </c>
      <c r="Z16" s="150" t="s">
        <v>193</v>
      </c>
      <c r="AA16" s="150">
        <v>802</v>
      </c>
      <c r="AB16" s="150">
        <v>94</v>
      </c>
      <c r="AC16" s="151"/>
      <c r="AD16" s="151">
        <v>195.94</v>
      </c>
      <c r="AE16" s="151">
        <f>Table162022[[#This Row],[STOPS]]*Table162022[[#This Row],[PRICE]]+Table162022[[#This Row],[DAY RATE]]</f>
        <v>195.94</v>
      </c>
      <c r="AF16" s="152"/>
      <c r="AG16" s="153">
        <f>Table162022[[#This Row],[STOPS PAID]]+Table162022[[#This Row],[EXTRA]]</f>
        <v>195.94</v>
      </c>
      <c r="AH16" s="154">
        <v>195.94</v>
      </c>
      <c r="AI16" s="152"/>
      <c r="AJ16" s="152"/>
      <c r="AK16" s="152"/>
      <c r="AL16" s="152">
        <f>Table162022[[#This Row],[TOP UP]]+Table162022[[#This Row],[EXTRA RUN]]+Table162022[[#This Row],[SEC. RUN]]+Table162022[[#This Row],[FIRST RUN]]</f>
        <v>195.94</v>
      </c>
      <c r="AM16" s="155">
        <f>Table162022[[#This Row],[TOTAL PAID]]-Table162022[[#This Row],[TOTAL AGREED]]</f>
        <v>0</v>
      </c>
      <c r="AN16" s="138"/>
    </row>
    <row r="17" spans="3:40" ht="15.6" thickTop="1" thickBot="1" x14ac:dyDescent="0.35">
      <c r="C17" s="135"/>
      <c r="D17" s="175" t="s">
        <v>173</v>
      </c>
      <c r="E17" s="250">
        <f>P32+U16</f>
        <v>2647.84</v>
      </c>
      <c r="F17" s="250"/>
      <c r="G17" s="250"/>
      <c r="H17" s="251"/>
      <c r="I17" s="136"/>
      <c r="J17" s="170">
        <v>46320</v>
      </c>
      <c r="K17" s="10"/>
      <c r="L17" s="10"/>
      <c r="M17" s="10"/>
      <c r="N17" s="156"/>
      <c r="O17" s="156"/>
      <c r="P17" s="147">
        <f t="shared" si="0"/>
        <v>0</v>
      </c>
      <c r="Q17" s="136"/>
      <c r="R17" s="136"/>
      <c r="S17" s="136"/>
      <c r="T17" s="136"/>
      <c r="U17" s="136"/>
      <c r="V17" s="137"/>
      <c r="X17" s="135"/>
      <c r="Y17" s="171">
        <v>46320</v>
      </c>
      <c r="Z17" s="150"/>
      <c r="AA17" s="150"/>
      <c r="AB17" s="150"/>
      <c r="AC17" s="151"/>
      <c r="AD17" s="151"/>
      <c r="AE17" s="151">
        <f>Table162022[[#This Row],[STOPS]]*Table162022[[#This Row],[PRICE]]+Table162022[[#This Row],[DAY RATE]]</f>
        <v>0</v>
      </c>
      <c r="AF17" s="152"/>
      <c r="AG17" s="153">
        <f>Table162022[[#This Row],[STOPS PAID]]+Table162022[[#This Row],[EXTRA]]</f>
        <v>0</v>
      </c>
      <c r="AH17" s="154"/>
      <c r="AI17" s="152"/>
      <c r="AJ17" s="152"/>
      <c r="AK17" s="152"/>
      <c r="AL17" s="152">
        <f>Table162022[[#This Row],[TOP UP]]+Table162022[[#This Row],[EXTRA RUN]]+Table162022[[#This Row],[SEC. RUN]]+Table162022[[#This Row],[FIRST RUN]]</f>
        <v>0</v>
      </c>
      <c r="AM17" s="155">
        <f>Table162022[[#This Row],[TOTAL PAID]]-Table162022[[#This Row],[TOTAL AGREED]]</f>
        <v>0</v>
      </c>
      <c r="AN17" s="138"/>
    </row>
    <row r="18" spans="3:40" ht="16.2" thickBot="1" x14ac:dyDescent="0.35">
      <c r="C18" s="135"/>
      <c r="D18" s="139" t="s">
        <v>174</v>
      </c>
      <c r="E18" s="252">
        <f>E17*6%</f>
        <v>158.87039999999999</v>
      </c>
      <c r="F18" s="252"/>
      <c r="G18" s="252"/>
      <c r="H18" s="253"/>
      <c r="I18" s="136"/>
      <c r="J18" s="144">
        <v>46321</v>
      </c>
      <c r="K18" s="10"/>
      <c r="L18" s="10"/>
      <c r="M18" s="10"/>
      <c r="N18" s="156"/>
      <c r="O18" s="156"/>
      <c r="P18" s="147">
        <f t="shared" si="0"/>
        <v>0</v>
      </c>
      <c r="Q18" s="136"/>
      <c r="R18" s="254" t="s">
        <v>175</v>
      </c>
      <c r="S18" s="255"/>
      <c r="T18" s="255"/>
      <c r="U18" s="256"/>
      <c r="V18" s="137"/>
      <c r="X18" s="135"/>
      <c r="Y18" s="149">
        <v>46321</v>
      </c>
      <c r="Z18" s="150"/>
      <c r="AA18" s="150"/>
      <c r="AB18" s="150"/>
      <c r="AC18" s="151"/>
      <c r="AD18" s="151"/>
      <c r="AE18" s="151">
        <f>Table162022[[#This Row],[STOPS]]*Table162022[[#This Row],[PRICE]]+Table162022[[#This Row],[DAY RATE]]</f>
        <v>0</v>
      </c>
      <c r="AF18" s="152"/>
      <c r="AG18" s="153">
        <f>Table162022[[#This Row],[STOPS PAID]]+Table162022[[#This Row],[EXTRA]]</f>
        <v>0</v>
      </c>
      <c r="AH18" s="154"/>
      <c r="AI18" s="152"/>
      <c r="AJ18" s="152"/>
      <c r="AK18" s="152"/>
      <c r="AL18" s="152">
        <f>Table162022[[#This Row],[TOP UP]]+Table162022[[#This Row],[EXTRA RUN]]+Table162022[[#This Row],[SEC. RUN]]+Table162022[[#This Row],[FIRST RUN]]</f>
        <v>0</v>
      </c>
      <c r="AM18" s="155">
        <f>Table162022[[#This Row],[TOTAL PAID]]-Table162022[[#This Row],[TOTAL AGREED]]</f>
        <v>0</v>
      </c>
      <c r="AN18" s="138"/>
    </row>
    <row r="19" spans="3:40" ht="15" thickBot="1" x14ac:dyDescent="0.35">
      <c r="C19" s="135"/>
      <c r="D19" s="176" t="s">
        <v>176</v>
      </c>
      <c r="E19" s="257">
        <f>U32</f>
        <v>0</v>
      </c>
      <c r="F19" s="257"/>
      <c r="G19" s="257"/>
      <c r="H19" s="258"/>
      <c r="I19" s="136"/>
      <c r="J19" s="144">
        <v>46322</v>
      </c>
      <c r="K19" s="10"/>
      <c r="L19" s="10"/>
      <c r="M19" s="10"/>
      <c r="N19" s="156"/>
      <c r="O19" s="156"/>
      <c r="P19" s="147">
        <f t="shared" si="0"/>
        <v>0</v>
      </c>
      <c r="Q19" s="136"/>
      <c r="R19" s="177" t="s">
        <v>10</v>
      </c>
      <c r="S19" s="140" t="s">
        <v>3</v>
      </c>
      <c r="T19" s="140" t="s">
        <v>152</v>
      </c>
      <c r="U19" s="140" t="s">
        <v>150</v>
      </c>
      <c r="V19" s="137"/>
      <c r="X19" s="135"/>
      <c r="Y19" s="149">
        <v>46322</v>
      </c>
      <c r="Z19" s="150"/>
      <c r="AA19" s="150"/>
      <c r="AB19" s="150"/>
      <c r="AC19" s="151"/>
      <c r="AD19" s="151"/>
      <c r="AE19" s="151">
        <f>Table162022[[#This Row],[STOPS]]*Table162022[[#This Row],[PRICE]]+Table162022[[#This Row],[DAY RATE]]</f>
        <v>0</v>
      </c>
      <c r="AF19" s="152"/>
      <c r="AG19" s="153">
        <f>Table162022[[#This Row],[STOPS PAID]]+Table162022[[#This Row],[EXTRA]]</f>
        <v>0</v>
      </c>
      <c r="AH19" s="154"/>
      <c r="AI19" s="152"/>
      <c r="AJ19" s="152"/>
      <c r="AK19" s="152"/>
      <c r="AL19" s="152">
        <f>Table162022[[#This Row],[TOP UP]]+Table162022[[#This Row],[EXTRA RUN]]+Table162022[[#This Row],[SEC. RUN]]+Table162022[[#This Row],[FIRST RUN]]</f>
        <v>0</v>
      </c>
      <c r="AM19" s="155">
        <f>Table162022[[#This Row],[TOTAL PAID]]-Table162022[[#This Row],[TOTAL AGREED]]</f>
        <v>0</v>
      </c>
      <c r="AN19" s="138"/>
    </row>
    <row r="20" spans="3:40" x14ac:dyDescent="0.3">
      <c r="C20" s="135"/>
      <c r="D20" s="139" t="s">
        <v>177</v>
      </c>
      <c r="E20" s="252">
        <f>E17-E18-E19</f>
        <v>2488.9696000000004</v>
      </c>
      <c r="F20" s="252"/>
      <c r="G20" s="252"/>
      <c r="H20" s="253"/>
      <c r="I20" s="136"/>
      <c r="J20" s="144">
        <v>46323</v>
      </c>
      <c r="K20" s="10"/>
      <c r="L20" s="10"/>
      <c r="M20" s="10"/>
      <c r="N20" s="156"/>
      <c r="O20" s="156"/>
      <c r="P20" s="147">
        <f t="shared" si="0"/>
        <v>0</v>
      </c>
      <c r="Q20" s="136"/>
      <c r="R20" s="148"/>
      <c r="S20" s="145"/>
      <c r="T20" s="145"/>
      <c r="U20" s="147"/>
      <c r="V20" s="137"/>
      <c r="X20" s="135"/>
      <c r="Y20" s="149">
        <v>46323</v>
      </c>
      <c r="Z20" s="150"/>
      <c r="AA20" s="150"/>
      <c r="AB20" s="150"/>
      <c r="AC20" s="151"/>
      <c r="AD20" s="151"/>
      <c r="AE20" s="151">
        <f>Table162022[[#This Row],[STOPS]]*Table162022[[#This Row],[PRICE]]+Table162022[[#This Row],[DAY RATE]]</f>
        <v>0</v>
      </c>
      <c r="AF20" s="152"/>
      <c r="AG20" s="153">
        <f>Table162022[[#This Row],[STOPS PAID]]+Table162022[[#This Row],[EXTRA]]</f>
        <v>0</v>
      </c>
      <c r="AH20" s="154"/>
      <c r="AI20" s="152"/>
      <c r="AJ20" s="152"/>
      <c r="AK20" s="152"/>
      <c r="AL20" s="152">
        <f>Table162022[[#This Row],[TOP UP]]+Table162022[[#This Row],[EXTRA RUN]]+Table162022[[#This Row],[SEC. RUN]]+Table162022[[#This Row],[FIRST RUN]]</f>
        <v>0</v>
      </c>
      <c r="AM20" s="155">
        <f>Table162022[[#This Row],[TOTAL PAID]]-Table162022[[#This Row],[TOTAL AGREED]]</f>
        <v>0</v>
      </c>
      <c r="AN20" s="138"/>
    </row>
    <row r="21" spans="3:40" x14ac:dyDescent="0.3">
      <c r="C21" s="135"/>
      <c r="D21" s="139" t="s">
        <v>200</v>
      </c>
      <c r="E21" s="252">
        <f>E20*20%</f>
        <v>497.79392000000007</v>
      </c>
      <c r="F21" s="252"/>
      <c r="G21" s="252"/>
      <c r="H21" s="253"/>
      <c r="I21" s="136"/>
      <c r="J21" s="144">
        <v>46324</v>
      </c>
      <c r="K21" s="10"/>
      <c r="L21" s="10"/>
      <c r="M21" s="10"/>
      <c r="N21" s="156"/>
      <c r="O21" s="156"/>
      <c r="P21" s="147">
        <f t="shared" si="0"/>
        <v>0</v>
      </c>
      <c r="Q21" s="136"/>
      <c r="R21" s="9"/>
      <c r="S21" s="10"/>
      <c r="T21" s="10"/>
      <c r="U21" s="157"/>
      <c r="V21" s="137"/>
      <c r="X21" s="135"/>
      <c r="Y21" s="149">
        <v>46324</v>
      </c>
      <c r="Z21" s="150"/>
      <c r="AA21" s="150"/>
      <c r="AB21" s="150"/>
      <c r="AC21" s="151"/>
      <c r="AD21" s="151"/>
      <c r="AE21" s="151">
        <f>Table162022[[#This Row],[STOPS]]*Table162022[[#This Row],[PRICE]]+Table162022[[#This Row],[DAY RATE]]</f>
        <v>0</v>
      </c>
      <c r="AF21" s="152"/>
      <c r="AG21" s="153">
        <f>Table162022[[#This Row],[STOPS PAID]]+Table162022[[#This Row],[EXTRA]]</f>
        <v>0</v>
      </c>
      <c r="AH21" s="154"/>
      <c r="AI21" s="152"/>
      <c r="AJ21" s="152"/>
      <c r="AK21" s="152"/>
      <c r="AL21" s="152">
        <f>Table162022[[#This Row],[TOP UP]]+Table162022[[#This Row],[EXTRA RUN]]+Table162022[[#This Row],[SEC. RUN]]+Table162022[[#This Row],[FIRST RUN]]</f>
        <v>0</v>
      </c>
      <c r="AM21" s="155">
        <f>Table162022[[#This Row],[TOTAL PAID]]-Table162022[[#This Row],[TOTAL AGREED]]</f>
        <v>0</v>
      </c>
      <c r="AN21" s="138"/>
    </row>
    <row r="22" spans="3:40" ht="16.2" thickBot="1" x14ac:dyDescent="0.35">
      <c r="C22" s="135"/>
      <c r="D22" s="178" t="s">
        <v>178</v>
      </c>
      <c r="E22" s="238">
        <f>E20+E21</f>
        <v>2986.7635200000004</v>
      </c>
      <c r="F22" s="238"/>
      <c r="G22" s="238"/>
      <c r="H22" s="239"/>
      <c r="I22" s="136"/>
      <c r="J22" s="144">
        <v>46325</v>
      </c>
      <c r="K22" s="10"/>
      <c r="L22" s="10"/>
      <c r="M22" s="10"/>
      <c r="N22" s="156"/>
      <c r="O22" s="156"/>
      <c r="P22" s="147">
        <f t="shared" si="0"/>
        <v>0</v>
      </c>
      <c r="Q22" s="136"/>
      <c r="R22" s="9"/>
      <c r="S22" s="10"/>
      <c r="T22" s="10"/>
      <c r="U22" s="157"/>
      <c r="V22" s="137"/>
      <c r="X22" s="135"/>
      <c r="Y22" s="149">
        <v>46325</v>
      </c>
      <c r="Z22" s="150"/>
      <c r="AA22" s="150"/>
      <c r="AB22" s="150"/>
      <c r="AC22" s="151"/>
      <c r="AD22" s="151"/>
      <c r="AE22" s="151">
        <f>Table162022[[#This Row],[STOPS]]*Table162022[[#This Row],[PRICE]]+Table162022[[#This Row],[DAY RATE]]</f>
        <v>0</v>
      </c>
      <c r="AF22" s="152"/>
      <c r="AG22" s="153">
        <f>Table162022[[#This Row],[STOPS PAID]]+Table162022[[#This Row],[EXTRA]]</f>
        <v>0</v>
      </c>
      <c r="AH22" s="154"/>
      <c r="AI22" s="152"/>
      <c r="AJ22" s="152"/>
      <c r="AK22" s="152"/>
      <c r="AL22" s="152">
        <f>Table162022[[#This Row],[TOP UP]]+Table162022[[#This Row],[EXTRA RUN]]+Table162022[[#This Row],[SEC. RUN]]+Table162022[[#This Row],[FIRST RUN]]</f>
        <v>0</v>
      </c>
      <c r="AM22" s="155">
        <f>Table162022[[#This Row],[TOTAL PAID]]-Table162022[[#This Row],[TOTAL AGREED]]</f>
        <v>0</v>
      </c>
      <c r="AN22" s="138"/>
    </row>
    <row r="23" spans="3:40" ht="15" thickTop="1" x14ac:dyDescent="0.3">
      <c r="C23" s="135"/>
      <c r="D23" s="136"/>
      <c r="E23" s="240"/>
      <c r="F23" s="240"/>
      <c r="G23" s="240"/>
      <c r="H23" s="240"/>
      <c r="I23" s="136"/>
      <c r="J23" s="168">
        <v>46326</v>
      </c>
      <c r="K23" s="10"/>
      <c r="L23" s="10"/>
      <c r="M23" s="10"/>
      <c r="N23" s="156"/>
      <c r="O23" s="156"/>
      <c r="P23" s="147">
        <f t="shared" si="0"/>
        <v>0</v>
      </c>
      <c r="Q23" s="136"/>
      <c r="R23" s="9"/>
      <c r="S23" s="10"/>
      <c r="T23" s="10"/>
      <c r="U23" s="157"/>
      <c r="V23" s="137"/>
      <c r="X23" s="135"/>
      <c r="Y23" s="169">
        <v>46326</v>
      </c>
      <c r="Z23" s="150"/>
      <c r="AA23" s="150"/>
      <c r="AB23" s="150"/>
      <c r="AC23" s="151"/>
      <c r="AD23" s="151"/>
      <c r="AE23" s="151">
        <f>Table162022[[#This Row],[STOPS]]*Table162022[[#This Row],[PRICE]]+Table162022[[#This Row],[DAY RATE]]</f>
        <v>0</v>
      </c>
      <c r="AF23" s="152"/>
      <c r="AG23" s="153">
        <f>Table162022[[#This Row],[STOPS PAID]]+Table162022[[#This Row],[EXTRA]]</f>
        <v>0</v>
      </c>
      <c r="AH23" s="154"/>
      <c r="AI23" s="152"/>
      <c r="AJ23" s="152"/>
      <c r="AK23" s="152"/>
      <c r="AL23" s="152">
        <f>Table162022[[#This Row],[TOP UP]]+Table162022[[#This Row],[EXTRA RUN]]+Table162022[[#This Row],[SEC. RUN]]+Table162022[[#This Row],[FIRST RUN]]</f>
        <v>0</v>
      </c>
      <c r="AM23" s="155">
        <f>Table162022[[#This Row],[TOTAL PAID]]-Table162022[[#This Row],[TOTAL AGREED]]</f>
        <v>0</v>
      </c>
      <c r="AN23" s="138"/>
    </row>
    <row r="24" spans="3:40" ht="15.6" x14ac:dyDescent="0.3">
      <c r="C24" s="135"/>
      <c r="D24" s="179" t="s">
        <v>179</v>
      </c>
      <c r="E24" s="180">
        <v>46307</v>
      </c>
      <c r="F24" s="181" t="s">
        <v>180</v>
      </c>
      <c r="G24" s="241">
        <v>46334</v>
      </c>
      <c r="H24" s="242"/>
      <c r="I24" s="136"/>
      <c r="J24" s="170">
        <v>46327</v>
      </c>
      <c r="K24" s="10"/>
      <c r="L24" s="10"/>
      <c r="M24" s="10"/>
      <c r="N24" s="156"/>
      <c r="O24" s="156"/>
      <c r="P24" s="147">
        <f t="shared" si="0"/>
        <v>0</v>
      </c>
      <c r="Q24" s="136"/>
      <c r="R24" s="9"/>
      <c r="S24" s="10"/>
      <c r="T24" s="10"/>
      <c r="U24" s="157"/>
      <c r="V24" s="137"/>
      <c r="X24" s="135"/>
      <c r="Y24" s="171">
        <v>46327</v>
      </c>
      <c r="Z24" s="150"/>
      <c r="AA24" s="150"/>
      <c r="AB24" s="150"/>
      <c r="AC24" s="151"/>
      <c r="AD24" s="151"/>
      <c r="AE24" s="151">
        <f>Table162022[[#This Row],[STOPS]]*Table162022[[#This Row],[PRICE]]+Table162022[[#This Row],[DAY RATE]]</f>
        <v>0</v>
      </c>
      <c r="AF24" s="152"/>
      <c r="AG24" s="153">
        <f>Table162022[[#This Row],[STOPS PAID]]+Table162022[[#This Row],[EXTRA]]</f>
        <v>0</v>
      </c>
      <c r="AH24" s="154"/>
      <c r="AI24" s="152"/>
      <c r="AJ24" s="152"/>
      <c r="AK24" s="152"/>
      <c r="AL24" s="152">
        <f>Table162022[[#This Row],[TOP UP]]+Table162022[[#This Row],[EXTRA RUN]]+Table162022[[#This Row],[SEC. RUN]]+Table162022[[#This Row],[FIRST RUN]]</f>
        <v>0</v>
      </c>
      <c r="AM24" s="155">
        <f>Table162022[[#This Row],[TOTAL PAID]]-Table162022[[#This Row],[TOTAL AGREED]]</f>
        <v>0</v>
      </c>
      <c r="AN24" s="138"/>
    </row>
    <row r="25" spans="3:40" x14ac:dyDescent="0.3">
      <c r="C25" s="135"/>
      <c r="D25" s="243" t="s">
        <v>181</v>
      </c>
      <c r="E25" s="245">
        <v>46339</v>
      </c>
      <c r="F25" s="136"/>
      <c r="G25" s="136"/>
      <c r="H25" s="136"/>
      <c r="I25" s="136"/>
      <c r="J25" s="144">
        <v>46328</v>
      </c>
      <c r="K25" s="10"/>
      <c r="L25" s="10"/>
      <c r="M25" s="10"/>
      <c r="N25" s="156"/>
      <c r="O25" s="156"/>
      <c r="P25" s="147">
        <f t="shared" si="0"/>
        <v>0</v>
      </c>
      <c r="Q25" s="136"/>
      <c r="R25" s="9"/>
      <c r="S25" s="10"/>
      <c r="T25" s="10"/>
      <c r="U25" s="157"/>
      <c r="V25" s="137"/>
      <c r="X25" s="135"/>
      <c r="Y25" s="149">
        <v>46328</v>
      </c>
      <c r="Z25" s="150"/>
      <c r="AA25" s="150"/>
      <c r="AB25" s="150"/>
      <c r="AC25" s="151"/>
      <c r="AD25" s="151"/>
      <c r="AE25" s="151">
        <f>Table162022[[#This Row],[STOPS]]*Table162022[[#This Row],[PRICE]]+Table162022[[#This Row],[DAY RATE]]</f>
        <v>0</v>
      </c>
      <c r="AF25" s="152"/>
      <c r="AG25" s="153">
        <f>Table162022[[#This Row],[STOPS PAID]]+Table162022[[#This Row],[EXTRA]]</f>
        <v>0</v>
      </c>
      <c r="AH25" s="154"/>
      <c r="AI25" s="152"/>
      <c r="AJ25" s="152"/>
      <c r="AK25" s="152"/>
      <c r="AL25" s="152">
        <f>Table162022[[#This Row],[TOP UP]]+Table162022[[#This Row],[EXTRA RUN]]+Table162022[[#This Row],[SEC. RUN]]+Table162022[[#This Row],[FIRST RUN]]</f>
        <v>0</v>
      </c>
      <c r="AM25" s="155">
        <f>Table162022[[#This Row],[TOTAL PAID]]-Table162022[[#This Row],[TOTAL AGREED]]</f>
        <v>0</v>
      </c>
      <c r="AN25" s="138"/>
    </row>
    <row r="26" spans="3:40" ht="15" thickBot="1" x14ac:dyDescent="0.35">
      <c r="C26" s="135"/>
      <c r="D26" s="244"/>
      <c r="E26" s="246"/>
      <c r="F26" s="136"/>
      <c r="G26" s="136"/>
      <c r="H26" s="136"/>
      <c r="I26" s="136"/>
      <c r="J26" s="144">
        <v>46329</v>
      </c>
      <c r="K26" s="10"/>
      <c r="L26" s="10"/>
      <c r="M26" s="10"/>
      <c r="N26" s="156"/>
      <c r="O26" s="156"/>
      <c r="P26" s="147">
        <f t="shared" si="0"/>
        <v>0</v>
      </c>
      <c r="Q26" s="136"/>
      <c r="R26" s="9"/>
      <c r="S26" s="10"/>
      <c r="T26" s="10"/>
      <c r="U26" s="157"/>
      <c r="V26" s="137"/>
      <c r="X26" s="135"/>
      <c r="Y26" s="149">
        <v>46329</v>
      </c>
      <c r="Z26" s="150"/>
      <c r="AA26" s="150"/>
      <c r="AB26" s="150"/>
      <c r="AC26" s="151"/>
      <c r="AD26" s="151"/>
      <c r="AE26" s="151">
        <f>Table162022[[#This Row],[STOPS]]*Table162022[[#This Row],[PRICE]]+Table162022[[#This Row],[DAY RATE]]</f>
        <v>0</v>
      </c>
      <c r="AF26" s="152"/>
      <c r="AG26" s="153">
        <f>Table162022[[#This Row],[STOPS PAID]]+Table162022[[#This Row],[EXTRA]]</f>
        <v>0</v>
      </c>
      <c r="AH26" s="154"/>
      <c r="AI26" s="152"/>
      <c r="AJ26" s="152"/>
      <c r="AK26" s="152"/>
      <c r="AL26" s="152">
        <f>Table162022[[#This Row],[TOP UP]]+Table162022[[#This Row],[EXTRA RUN]]+Table162022[[#This Row],[SEC. RUN]]+Table162022[[#This Row],[FIRST RUN]]</f>
        <v>0</v>
      </c>
      <c r="AM26" s="155">
        <f>Table162022[[#This Row],[TOTAL PAID]]-Table162022[[#This Row],[TOTAL AGREED]]</f>
        <v>0</v>
      </c>
      <c r="AN26" s="138"/>
    </row>
    <row r="27" spans="3:40" x14ac:dyDescent="0.3">
      <c r="C27" s="135"/>
      <c r="D27" s="247" t="s">
        <v>182</v>
      </c>
      <c r="E27" s="248"/>
      <c r="F27" s="248"/>
      <c r="G27" s="248"/>
      <c r="H27" s="249"/>
      <c r="I27" s="136"/>
      <c r="J27" s="144">
        <v>46330</v>
      </c>
      <c r="K27" s="10"/>
      <c r="L27" s="10"/>
      <c r="M27" s="10"/>
      <c r="N27" s="156"/>
      <c r="O27" s="156"/>
      <c r="P27" s="147">
        <f t="shared" si="0"/>
        <v>0</v>
      </c>
      <c r="Q27" s="136"/>
      <c r="R27" s="9"/>
      <c r="S27" s="10"/>
      <c r="T27" s="10"/>
      <c r="U27" s="157"/>
      <c r="V27" s="137"/>
      <c r="X27" s="135"/>
      <c r="Y27" s="149">
        <v>46330</v>
      </c>
      <c r="Z27" s="150"/>
      <c r="AA27" s="150"/>
      <c r="AB27" s="150"/>
      <c r="AC27" s="151"/>
      <c r="AD27" s="151"/>
      <c r="AE27" s="151">
        <f>Table162022[[#This Row],[STOPS]]*Table162022[[#This Row],[PRICE]]+Table162022[[#This Row],[DAY RATE]]</f>
        <v>0</v>
      </c>
      <c r="AF27" s="152"/>
      <c r="AG27" s="153">
        <f>Table162022[[#This Row],[STOPS PAID]]+Table162022[[#This Row],[EXTRA]]</f>
        <v>0</v>
      </c>
      <c r="AH27" s="154"/>
      <c r="AI27" s="152"/>
      <c r="AJ27" s="152"/>
      <c r="AK27" s="152"/>
      <c r="AL27" s="152">
        <f>Table162022[[#This Row],[TOP UP]]+Table162022[[#This Row],[EXTRA RUN]]+Table162022[[#This Row],[SEC. RUN]]+Table162022[[#This Row],[FIRST RUN]]</f>
        <v>0</v>
      </c>
      <c r="AM27" s="155">
        <f>Table162022[[#This Row],[TOTAL PAID]]-Table162022[[#This Row],[TOTAL AGREED]]</f>
        <v>0</v>
      </c>
      <c r="AN27" s="138"/>
    </row>
    <row r="28" spans="3:40" x14ac:dyDescent="0.3">
      <c r="C28" s="135"/>
      <c r="D28" s="229" t="s">
        <v>201</v>
      </c>
      <c r="E28" s="230"/>
      <c r="F28" s="230"/>
      <c r="G28" s="230"/>
      <c r="H28" s="231"/>
      <c r="I28" s="136"/>
      <c r="J28" s="144">
        <v>46331</v>
      </c>
      <c r="K28" s="10"/>
      <c r="L28" s="10"/>
      <c r="M28" s="10"/>
      <c r="N28" s="156"/>
      <c r="O28" s="156"/>
      <c r="P28" s="147">
        <f t="shared" si="0"/>
        <v>0</v>
      </c>
      <c r="Q28" s="136"/>
      <c r="R28" s="9"/>
      <c r="S28" s="10"/>
      <c r="T28" s="10"/>
      <c r="U28" s="157"/>
      <c r="V28" s="137"/>
      <c r="X28" s="135"/>
      <c r="Y28" s="149">
        <v>46331</v>
      </c>
      <c r="Z28" s="150"/>
      <c r="AA28" s="150"/>
      <c r="AB28" s="150"/>
      <c r="AC28" s="151"/>
      <c r="AD28" s="151"/>
      <c r="AE28" s="151">
        <f>Table162022[[#This Row],[STOPS]]*Table162022[[#This Row],[PRICE]]+Table162022[[#This Row],[DAY RATE]]</f>
        <v>0</v>
      </c>
      <c r="AF28" s="152"/>
      <c r="AG28" s="153">
        <f>Table162022[[#This Row],[STOPS PAID]]+Table162022[[#This Row],[EXTRA]]</f>
        <v>0</v>
      </c>
      <c r="AH28" s="154"/>
      <c r="AI28" s="152"/>
      <c r="AJ28" s="152"/>
      <c r="AK28" s="152"/>
      <c r="AL28" s="152">
        <f>Table162022[[#This Row],[TOP UP]]+Table162022[[#This Row],[EXTRA RUN]]+Table162022[[#This Row],[SEC. RUN]]+Table162022[[#This Row],[FIRST RUN]]</f>
        <v>0</v>
      </c>
      <c r="AM28" s="155">
        <f>Table162022[[#This Row],[TOTAL PAID]]-Table162022[[#This Row],[TOTAL AGREED]]</f>
        <v>0</v>
      </c>
      <c r="AN28" s="138"/>
    </row>
    <row r="29" spans="3:40" x14ac:dyDescent="0.3">
      <c r="C29" s="135"/>
      <c r="D29" s="229"/>
      <c r="E29" s="230"/>
      <c r="F29" s="230"/>
      <c r="G29" s="230"/>
      <c r="H29" s="231"/>
      <c r="I29" s="136"/>
      <c r="J29" s="144">
        <v>46332</v>
      </c>
      <c r="K29" s="10"/>
      <c r="L29" s="10"/>
      <c r="M29" s="10"/>
      <c r="N29" s="156"/>
      <c r="O29" s="156"/>
      <c r="P29" s="147">
        <f t="shared" si="0"/>
        <v>0</v>
      </c>
      <c r="Q29" s="136"/>
      <c r="R29" s="9"/>
      <c r="S29" s="10"/>
      <c r="T29" s="10"/>
      <c r="U29" s="157"/>
      <c r="V29" s="137"/>
      <c r="X29" s="135"/>
      <c r="Y29" s="149">
        <v>46332</v>
      </c>
      <c r="Z29" s="150"/>
      <c r="AA29" s="150"/>
      <c r="AB29" s="150"/>
      <c r="AC29" s="151"/>
      <c r="AD29" s="151"/>
      <c r="AE29" s="151">
        <f>Table162022[[#This Row],[STOPS]]*Table162022[[#This Row],[PRICE]]+Table162022[[#This Row],[DAY RATE]]</f>
        <v>0</v>
      </c>
      <c r="AF29" s="152"/>
      <c r="AG29" s="153">
        <f>Table162022[[#This Row],[STOPS PAID]]+Table162022[[#This Row],[EXTRA]]</f>
        <v>0</v>
      </c>
      <c r="AH29" s="154"/>
      <c r="AI29" s="152"/>
      <c r="AJ29" s="152"/>
      <c r="AK29" s="152"/>
      <c r="AL29" s="152">
        <f>Table162022[[#This Row],[TOP UP]]+Table162022[[#This Row],[EXTRA RUN]]+Table162022[[#This Row],[SEC. RUN]]+Table162022[[#This Row],[FIRST RUN]]</f>
        <v>0</v>
      </c>
      <c r="AM29" s="155">
        <f>Table162022[[#This Row],[TOTAL PAID]]-Table162022[[#This Row],[TOTAL AGREED]]</f>
        <v>0</v>
      </c>
      <c r="AN29" s="138"/>
    </row>
    <row r="30" spans="3:40" x14ac:dyDescent="0.3">
      <c r="C30" s="135"/>
      <c r="D30" s="229"/>
      <c r="E30" s="230"/>
      <c r="F30" s="230"/>
      <c r="G30" s="230"/>
      <c r="H30" s="231"/>
      <c r="I30" s="136"/>
      <c r="J30" s="168">
        <v>46333</v>
      </c>
      <c r="K30" s="10"/>
      <c r="L30" s="10"/>
      <c r="M30" s="10"/>
      <c r="N30" s="156"/>
      <c r="O30" s="156"/>
      <c r="P30" s="147">
        <f t="shared" si="0"/>
        <v>0</v>
      </c>
      <c r="Q30" s="136"/>
      <c r="R30" s="9"/>
      <c r="S30" s="10"/>
      <c r="T30" s="10"/>
      <c r="U30" s="157"/>
      <c r="V30" s="137"/>
      <c r="X30" s="135"/>
      <c r="Y30" s="169">
        <v>46333</v>
      </c>
      <c r="Z30" s="150"/>
      <c r="AA30" s="150"/>
      <c r="AB30" s="150"/>
      <c r="AC30" s="151"/>
      <c r="AD30" s="151"/>
      <c r="AE30" s="151">
        <f>Table162022[[#This Row],[STOPS]]*Table162022[[#This Row],[PRICE]]+Table162022[[#This Row],[DAY RATE]]</f>
        <v>0</v>
      </c>
      <c r="AF30" s="152"/>
      <c r="AG30" s="153">
        <f>Table162022[[#This Row],[STOPS PAID]]+Table162022[[#This Row],[EXTRA]]</f>
        <v>0</v>
      </c>
      <c r="AH30" s="154"/>
      <c r="AI30" s="152"/>
      <c r="AJ30" s="152"/>
      <c r="AK30" s="152"/>
      <c r="AL30" s="152">
        <f>Table162022[[#This Row],[TOP UP]]+Table162022[[#This Row],[EXTRA RUN]]+Table162022[[#This Row],[SEC. RUN]]+Table162022[[#This Row],[FIRST RUN]]</f>
        <v>0</v>
      </c>
      <c r="AM30" s="155">
        <f>Table162022[[#This Row],[TOTAL PAID]]-Table162022[[#This Row],[TOTAL AGREED]]</f>
        <v>0</v>
      </c>
      <c r="AN30" s="138"/>
    </row>
    <row r="31" spans="3:40" x14ac:dyDescent="0.3">
      <c r="C31" s="135"/>
      <c r="D31" s="229"/>
      <c r="E31" s="230"/>
      <c r="F31" s="230"/>
      <c r="G31" s="230"/>
      <c r="H31" s="231"/>
      <c r="I31" s="136"/>
      <c r="J31" s="170">
        <v>46334</v>
      </c>
      <c r="K31" s="10"/>
      <c r="L31" s="10"/>
      <c r="M31" s="10"/>
      <c r="N31" s="156"/>
      <c r="O31" s="156"/>
      <c r="P31" s="147">
        <f t="shared" si="0"/>
        <v>0</v>
      </c>
      <c r="Q31" s="136"/>
      <c r="R31" s="9"/>
      <c r="S31" s="10"/>
      <c r="T31" s="10"/>
      <c r="U31" s="157"/>
      <c r="V31" s="137"/>
      <c r="X31" s="135"/>
      <c r="Y31" s="171">
        <v>46334</v>
      </c>
      <c r="Z31" s="150"/>
      <c r="AA31" s="150"/>
      <c r="AB31" s="150"/>
      <c r="AC31" s="151"/>
      <c r="AD31" s="151"/>
      <c r="AE31" s="151">
        <f>Table162022[[#This Row],[STOPS]]*Table162022[[#This Row],[PRICE]]+Table162022[[#This Row],[DAY RATE]]</f>
        <v>0</v>
      </c>
      <c r="AF31" s="152"/>
      <c r="AG31" s="153">
        <f>Table162022[[#This Row],[STOPS PAID]]+Table162022[[#This Row],[EXTRA]]</f>
        <v>0</v>
      </c>
      <c r="AH31" s="154"/>
      <c r="AI31" s="152"/>
      <c r="AJ31" s="152"/>
      <c r="AK31" s="152"/>
      <c r="AL31" s="152">
        <f>Table162022[[#This Row],[TOP UP]]+Table162022[[#This Row],[EXTRA RUN]]+Table162022[[#This Row],[SEC. RUN]]+Table162022[[#This Row],[FIRST RUN]]</f>
        <v>0</v>
      </c>
      <c r="AM31" s="155">
        <f>Table162022[[#This Row],[TOTAL PAID]]-Table162022[[#This Row],[TOTAL AGREED]]</f>
        <v>0</v>
      </c>
      <c r="AN31" s="138"/>
    </row>
    <row r="32" spans="3:40" ht="15" thickBot="1" x14ac:dyDescent="0.35">
      <c r="C32" s="135"/>
      <c r="D32" s="232"/>
      <c r="E32" s="233"/>
      <c r="F32" s="233"/>
      <c r="G32" s="233"/>
      <c r="H32" s="234"/>
      <c r="I32" s="136"/>
      <c r="J32" s="235" t="s">
        <v>172</v>
      </c>
      <c r="K32" s="236"/>
      <c r="L32" s="237"/>
      <c r="M32" s="184">
        <f>SUM(M4:M31)</f>
        <v>416</v>
      </c>
      <c r="N32" s="185"/>
      <c r="O32" s="185"/>
      <c r="P32" s="174">
        <f>SUM(P4:P31)</f>
        <v>2647.84</v>
      </c>
      <c r="Q32" s="136"/>
      <c r="R32" s="172"/>
      <c r="S32" s="173"/>
      <c r="T32" s="183" t="s">
        <v>172</v>
      </c>
      <c r="U32" s="186">
        <f>SUM(U20:U31)</f>
        <v>0</v>
      </c>
      <c r="V32" s="137"/>
      <c r="X32" s="135"/>
      <c r="Y32" s="187"/>
      <c r="Z32" s="188"/>
      <c r="AA32" s="188"/>
      <c r="AB32" s="189"/>
      <c r="AC32" s="190"/>
      <c r="AD32" s="190"/>
      <c r="AE32" s="190">
        <f>Table162022[[#This Row],[STOPS]]*Table162022[[#This Row],[PRICE]]+Table162022[[#This Row],[DAY RATE]]</f>
        <v>0</v>
      </c>
      <c r="AF32" s="191"/>
      <c r="AG32" s="192">
        <f>Table162022[[#This Row],[STOPS PAID]]+Table162022[[#This Row],[EXTRA]]</f>
        <v>0</v>
      </c>
      <c r="AH32" s="193"/>
      <c r="AI32" s="191"/>
      <c r="AJ32" s="191"/>
      <c r="AK32" s="191"/>
      <c r="AL32" s="191">
        <f>SUM(AL4:AL31)</f>
        <v>2590.42</v>
      </c>
      <c r="AM32" s="194">
        <f>SUM(AM4:AM31)</f>
        <v>-57.419999999999987</v>
      </c>
      <c r="AN32" s="138"/>
    </row>
    <row r="33" spans="3:40" ht="6.6" customHeight="1" thickBot="1" x14ac:dyDescent="0.35">
      <c r="C33" s="195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7"/>
      <c r="X33" s="195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9"/>
    </row>
  </sheetData>
  <mergeCells count="32">
    <mergeCell ref="AH2:AM2"/>
    <mergeCell ref="E3:H3"/>
    <mergeCell ref="E9:H9"/>
    <mergeCell ref="D2:H2"/>
    <mergeCell ref="J2:P2"/>
    <mergeCell ref="R2:U2"/>
    <mergeCell ref="Y2:AG2"/>
    <mergeCell ref="E4:H4"/>
    <mergeCell ref="E5:H5"/>
    <mergeCell ref="E6:H6"/>
    <mergeCell ref="E7:H7"/>
    <mergeCell ref="E8:H8"/>
    <mergeCell ref="E21:H21"/>
    <mergeCell ref="E10:H10"/>
    <mergeCell ref="E11:H11"/>
    <mergeCell ref="E12:H12"/>
    <mergeCell ref="D13:D14"/>
    <mergeCell ref="E13:H14"/>
    <mergeCell ref="D16:H16"/>
    <mergeCell ref="E17:H17"/>
    <mergeCell ref="E18:H18"/>
    <mergeCell ref="R18:U18"/>
    <mergeCell ref="E19:H19"/>
    <mergeCell ref="E20:H20"/>
    <mergeCell ref="D28:H32"/>
    <mergeCell ref="J32:L32"/>
    <mergeCell ref="E22:H22"/>
    <mergeCell ref="E23:H23"/>
    <mergeCell ref="G24:H24"/>
    <mergeCell ref="D25:D26"/>
    <mergeCell ref="E25:E26"/>
    <mergeCell ref="D27:H27"/>
  </mergeCells>
  <phoneticPr fontId="25" type="noConversion"/>
  <hyperlinks>
    <hyperlink ref="E11" r:id="rId1" xr:uid="{CA4EF17B-7488-4316-964F-59E0F8B92728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30-09-26</vt:lpstr>
      <vt:lpstr>July</vt:lpstr>
      <vt:lpstr>Sheet2</vt:lpstr>
      <vt:lpstr>12-10 TO 08-11</vt:lpstr>
      <vt:lpstr>RONALDO</vt:lpstr>
      <vt:lpstr>ColumnTitleRegion1..H12.7</vt:lpstr>
      <vt:lpstr>ColumnTitleRegion2..C14.7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Augusto Conte Herrig</dc:creator>
  <cp:lastModifiedBy>Reinaldo Augusto Conte Herrig</cp:lastModifiedBy>
  <dcterms:created xsi:type="dcterms:W3CDTF">2026-10-27T22:12:18Z</dcterms:created>
  <dcterms:modified xsi:type="dcterms:W3CDTF">2026-10-27T22:42:27Z</dcterms:modified>
</cp:coreProperties>
</file>