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f7cf8fcfa60fa0/Desktop/"/>
    </mc:Choice>
  </mc:AlternateContent>
  <xr:revisionPtr revIDLastSave="0" documentId="8_{28FFF0FC-8D6E-4852-810C-34136F97BD78}" xr6:coauthVersionLast="47" xr6:coauthVersionMax="47" xr10:uidLastSave="{00000000-0000-0000-0000-000000000000}"/>
  <bookViews>
    <workbookView xWindow="-108" yWindow="-108" windowWidth="23256" windowHeight="12456" xr2:uid="{5506F472-D4D2-48A8-96B8-FFA3DDE2D50B}"/>
  </bookViews>
  <sheets>
    <sheet name="Sheet1" sheetId="1" r:id="rId1"/>
    <sheet name="NOVEMBER-26 (2)" sheetId="2" r:id="rId2"/>
    <sheet name="SETEMBRO-26" sheetId="3" r:id="rId3"/>
    <sheet name="01-07-26 TO 30-09-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3" i="4" l="1"/>
  <c r="Q33" i="4"/>
  <c r="L33" i="4"/>
  <c r="K33" i="4"/>
  <c r="F33" i="4"/>
  <c r="E33" i="4"/>
  <c r="Q6" i="4"/>
  <c r="K6" i="4"/>
  <c r="E6" i="4"/>
  <c r="K3" i="4"/>
  <c r="K4" i="4" s="1"/>
  <c r="P4" i="4" s="1"/>
  <c r="K2" i="4"/>
  <c r="D61" i="3"/>
  <c r="O29" i="3" a="1"/>
  <c r="O28" i="3" a="1"/>
  <c r="O27" i="3" a="1"/>
  <c r="O30" i="3" s="1"/>
  <c r="O19" i="3"/>
  <c r="O18" i="3"/>
  <c r="O17" i="3"/>
  <c r="O20" i="3" s="1"/>
  <c r="O23" i="3" s="1"/>
  <c r="O16" i="3"/>
  <c r="O15" i="3"/>
  <c r="O14" i="3"/>
  <c r="O13" i="3"/>
  <c r="O12" i="3"/>
  <c r="O11" i="3"/>
  <c r="O10" i="3"/>
  <c r="O9" i="3"/>
  <c r="O8" i="3"/>
  <c r="O7" i="3"/>
  <c r="O6" i="3"/>
  <c r="O5" i="3"/>
  <c r="E8" i="2"/>
  <c r="K8" i="2"/>
  <c r="Q8" i="2"/>
  <c r="E9" i="2"/>
  <c r="K9" i="2"/>
  <c r="Q9" i="2"/>
  <c r="E10" i="2"/>
  <c r="N5" i="2" s="1"/>
  <c r="K10" i="2"/>
  <c r="N8" i="2" s="1"/>
  <c r="Q10" i="2"/>
  <c r="N11" i="2" s="1"/>
  <c r="C14" i="2"/>
  <c r="C15" i="2" s="1"/>
  <c r="I14" i="2"/>
  <c r="I15" i="2" s="1"/>
  <c r="N14" i="2" l="1"/>
  <c r="D2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Augusto Conte Herrig</author>
  </authors>
  <commentList>
    <comment ref="H5" authorId="0" shapeId="0" xr:uid="{777153A8-B119-4F3C-B3CC-B12BFAE1AA60}">
      <text>
        <r>
          <rPr>
            <b/>
            <sz val="9"/>
            <color indexed="81"/>
            <rFont val="Tahoma"/>
            <family val="2"/>
          </rPr>
          <t xml:space="preserve">
Contadora
Shift Manager
</t>
        </r>
      </text>
    </comment>
    <comment ref="H21" authorId="0" shapeId="0" xr:uid="{ED43B6D3-4B2D-4EFF-A149-A26258FD61C8}">
      <text>
        <r>
          <rPr>
            <b/>
            <sz val="9"/>
            <color indexed="81"/>
            <rFont val="Tahoma"/>
            <family val="2"/>
          </rPr>
          <t xml:space="preserve">Ferramenta
Uniforme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<sst xmlns="http://schemas.openxmlformats.org/spreadsheetml/2006/main" count="332" uniqueCount="196">
  <si>
    <t>CONF.</t>
  </si>
  <si>
    <t>SUPER CONNECTION???</t>
  </si>
  <si>
    <t>TGB SERVICES AND SOLUTIONS LTD</t>
  </si>
  <si>
    <t xml:space="preserve">MS HERRIG LTD </t>
  </si>
  <si>
    <t>TOTAL</t>
  </si>
  <si>
    <t>TGB  LTD</t>
  </si>
  <si>
    <t>MSHERRIG LTD</t>
  </si>
  <si>
    <t>MS HERRIG LTD</t>
  </si>
  <si>
    <t>Categoria</t>
  </si>
  <si>
    <t>Conta</t>
  </si>
  <si>
    <t>Valor</t>
  </si>
  <si>
    <t>Data Paga</t>
  </si>
  <si>
    <t>Done</t>
  </si>
  <si>
    <t>Despesas</t>
  </si>
  <si>
    <t>DPD and Others</t>
  </si>
  <si>
    <t>Despesa Administrativas</t>
  </si>
  <si>
    <t>TPS ACCOUNTANT</t>
  </si>
  <si>
    <t>Total Income</t>
  </si>
  <si>
    <t>CREDIT CARD FEE NATWEST</t>
  </si>
  <si>
    <t>Drivers Payment</t>
  </si>
  <si>
    <t>NATWEST ACCOUNT CHARGE</t>
  </si>
  <si>
    <t>VAT Previsto</t>
  </si>
  <si>
    <t>VAT Pago</t>
  </si>
  <si>
    <t>Outras Despesas em Geral</t>
  </si>
  <si>
    <t>Despesa Administrativa</t>
  </si>
  <si>
    <t>Despesa Fixa</t>
  </si>
  <si>
    <t>Investimo de Materias</t>
  </si>
  <si>
    <t>Outros</t>
  </si>
  <si>
    <t>Gastos Pessoais</t>
  </si>
  <si>
    <t>Combustivel</t>
  </si>
  <si>
    <t>Financiamento</t>
  </si>
  <si>
    <t>Insurance and Recovery</t>
  </si>
  <si>
    <t>Manutencao</t>
  </si>
  <si>
    <t>Outros Vans</t>
  </si>
  <si>
    <t>Lucro Total</t>
  </si>
  <si>
    <t>Investimento de Materiais</t>
  </si>
  <si>
    <t>Reinaldo Retirada</t>
  </si>
  <si>
    <t>Tulio Retirada</t>
  </si>
  <si>
    <t>Saldo</t>
  </si>
  <si>
    <t>COMBUSTIVEL POR VEÍCULO</t>
  </si>
  <si>
    <t>Saveiro</t>
  </si>
  <si>
    <t>Income Total</t>
  </si>
  <si>
    <t>Motos</t>
  </si>
  <si>
    <t>Driver Payments</t>
  </si>
  <si>
    <t>ADIANTAMENTO THIAGO</t>
  </si>
  <si>
    <t>B&amp;Q MATERIAIS</t>
  </si>
  <si>
    <t>Trator</t>
  </si>
  <si>
    <t>ADIANTAMENTO DANIEL</t>
  </si>
  <si>
    <t>EBAY COMPRAS</t>
  </si>
  <si>
    <t>GRIDSERVE NOT KNOWN</t>
  </si>
  <si>
    <t>ADIANTAMENTO EMANUEL</t>
  </si>
  <si>
    <t>ASDA</t>
  </si>
  <si>
    <t>DIANTAMENTO KAUANN</t>
  </si>
  <si>
    <t>NEW MOON</t>
  </si>
  <si>
    <t>PELHAM BUCKLE</t>
  </si>
  <si>
    <t>ADIANTAMENTO HENRRY</t>
  </si>
  <si>
    <t>DRIVER PAYMENT KAUANN</t>
  </si>
  <si>
    <t>DANIEL</t>
  </si>
  <si>
    <t>BRUNO</t>
  </si>
  <si>
    <t>SMETHWICK</t>
  </si>
  <si>
    <t>DAVID</t>
  </si>
  <si>
    <t>SMTHWICK</t>
  </si>
  <si>
    <t>OCTAVIO</t>
  </si>
  <si>
    <t>CURRYS</t>
  </si>
  <si>
    <t>HENRRY</t>
  </si>
  <si>
    <t>EMANUEL</t>
  </si>
  <si>
    <t>LUCIANO</t>
  </si>
  <si>
    <t>ROGERIO</t>
  </si>
  <si>
    <t>Despesas de Van</t>
  </si>
  <si>
    <t>RAFAEL</t>
  </si>
  <si>
    <t>SHELL FUEL CARD</t>
  </si>
  <si>
    <t>JADERSON</t>
  </si>
  <si>
    <t>BP PULSE CARD</t>
  </si>
  <si>
    <t>LUCAS</t>
  </si>
  <si>
    <t>OCTOPUS ENERGY</t>
  </si>
  <si>
    <t>THIAGO</t>
  </si>
  <si>
    <t>SAINSBURYS DIESEL</t>
  </si>
  <si>
    <t>RONALDO</t>
  </si>
  <si>
    <t>BP GOCARDLESS</t>
  </si>
  <si>
    <t>SHELL DIESEL</t>
  </si>
  <si>
    <t>ADIANTAMENTO KAUANN</t>
  </si>
  <si>
    <t>JEFF BIKES MA22PXU</t>
  </si>
  <si>
    <t>HX72WTG FINANCIAMENTO CLOSEBROTHERS</t>
  </si>
  <si>
    <t>ADMIRAL BUS. INSURANCE</t>
  </si>
  <si>
    <t>VAN FINANCIAMENTO CLOSEBROTHER</t>
  </si>
  <si>
    <t>LOMBARD FINANCE</t>
  </si>
  <si>
    <t>CLOSEBROTHER FINANCE</t>
  </si>
  <si>
    <t>GOSKIPPY HX72WTG INSURANCE</t>
  </si>
  <si>
    <t>Total Drivers Payment</t>
  </si>
  <si>
    <t>ADMIRAL INSURANCE</t>
  </si>
  <si>
    <t>VAT                  Previsto</t>
  </si>
  <si>
    <t>ACORN VAN INSURANCE</t>
  </si>
  <si>
    <t>RAC RECOVERY</t>
  </si>
  <si>
    <t>VAN PARTS EURO CAR PARTS</t>
  </si>
  <si>
    <t>Outras Despesasem Geral</t>
  </si>
  <si>
    <t>VAN PARTS FORD</t>
  </si>
  <si>
    <t>VAN PARTS GSF CAR PARTS</t>
  </si>
  <si>
    <t>VAN PARTS ROSSETS</t>
  </si>
  <si>
    <t>FIX AUTO VAT ONLY</t>
  </si>
  <si>
    <t>PARKING TICKET</t>
  </si>
  <si>
    <t>ADESIVO VAN AHMED</t>
  </si>
  <si>
    <t>AUXILIS INSURANCE</t>
  </si>
  <si>
    <t>REINALDO'S SALARY</t>
  </si>
  <si>
    <t>TULIO'S SALARY</t>
  </si>
  <si>
    <t>SALARY</t>
  </si>
  <si>
    <t>DATE</t>
  </si>
  <si>
    <t>AMOUNT</t>
  </si>
  <si>
    <t>DIFERENCE</t>
  </si>
  <si>
    <t>INITIAL BALANCE</t>
  </si>
  <si>
    <t>TOTAL IN</t>
  </si>
  <si>
    <t>TOTAL OUT</t>
  </si>
  <si>
    <t>BALANCE</t>
  </si>
  <si>
    <t xml:space="preserve">GOCONNECT </t>
  </si>
  <si>
    <t>GOCONNECT</t>
  </si>
  <si>
    <t>TOTAL INVESTED</t>
  </si>
  <si>
    <t>INVESTED</t>
  </si>
  <si>
    <t>NOVEMBER/26</t>
  </si>
  <si>
    <t>TOTAL  IN</t>
  </si>
  <si>
    <t>REASON</t>
  </si>
  <si>
    <t>DESTINATION</t>
  </si>
  <si>
    <t>REVENUE</t>
  </si>
  <si>
    <t>EXPENSE</t>
  </si>
  <si>
    <t>MS HERRIG FRANCHISE DPD</t>
  </si>
  <si>
    <t>TGB FRANCHISE DPD</t>
  </si>
  <si>
    <r>
      <t xml:space="preserve">FINACES CONTROL GOCONNECT PARTNERSHIP </t>
    </r>
    <r>
      <rPr>
        <b/>
        <u/>
        <sz val="16"/>
        <color theme="8" tint="-0.499984740745262"/>
        <rFont val="Aptos Narrow"/>
        <family val="2"/>
        <scheme val="minor"/>
      </rPr>
      <t>SEPTEMBER/2026</t>
    </r>
  </si>
  <si>
    <t>SUMMARY</t>
  </si>
  <si>
    <t>VEHICLE MAINTENACE</t>
  </si>
  <si>
    <t>OTHERS Vans</t>
  </si>
  <si>
    <t>VAN HIRE AND FINANCE</t>
  </si>
  <si>
    <t>FUEL EXPENSES</t>
  </si>
  <si>
    <t>PERSONAL EXPENSES</t>
  </si>
  <si>
    <t>OTHERS</t>
  </si>
  <si>
    <t>SO I WOULD NEED SOMEWHERE TO DO THOSE FINANCES WITHIN THE PORTAL</t>
  </si>
  <si>
    <t>TOTAL RECEIVED</t>
  </si>
  <si>
    <r>
      <t xml:space="preserve">VAT CALCULATOR FOR </t>
    </r>
    <r>
      <rPr>
        <b/>
        <i/>
        <u/>
        <sz val="12"/>
        <color theme="1"/>
        <rFont val="Aptos Narrow"/>
        <family val="2"/>
        <scheme val="minor"/>
      </rPr>
      <t>MS HERRIG LTD</t>
    </r>
  </si>
  <si>
    <t>TOTAL PAID</t>
  </si>
  <si>
    <t>PAID TO HMRC</t>
  </si>
  <si>
    <r>
      <t xml:space="preserve">PERIOD FROM </t>
    </r>
    <r>
      <rPr>
        <b/>
        <sz val="12"/>
        <color theme="1"/>
        <rFont val="Aptos Narrow"/>
        <family val="2"/>
        <scheme val="minor"/>
      </rPr>
      <t xml:space="preserve">01/07/26 </t>
    </r>
    <r>
      <rPr>
        <sz val="12"/>
        <color theme="1"/>
        <rFont val="Aptos Narrow"/>
        <family val="2"/>
        <scheme val="minor"/>
      </rPr>
      <t xml:space="preserve">TO </t>
    </r>
    <r>
      <rPr>
        <b/>
        <sz val="12"/>
        <color theme="1"/>
        <rFont val="Aptos Narrow"/>
        <family val="2"/>
        <scheme val="minor"/>
      </rPr>
      <t>30/09/26</t>
    </r>
  </si>
  <si>
    <t>TOTAL REMAINING</t>
  </si>
  <si>
    <t>DIFFERENCE</t>
  </si>
  <si>
    <t>JULHO/26</t>
  </si>
  <si>
    <t>TOTAL A PAGAR =</t>
  </si>
  <si>
    <t>AGOSTO/26</t>
  </si>
  <si>
    <t>SETEMBRO/26</t>
  </si>
  <si>
    <t>COMPANY</t>
  </si>
  <si>
    <t>RECEIVED</t>
  </si>
  <si>
    <t>PAID</t>
  </si>
  <si>
    <t>SHELL</t>
  </si>
  <si>
    <t>TGB</t>
  </si>
  <si>
    <t>INVOICE</t>
  </si>
  <si>
    <t>BP PULSE</t>
  </si>
  <si>
    <t>RAFAEL BP CARD</t>
  </si>
  <si>
    <t>FUEL CARD</t>
  </si>
  <si>
    <t>sainsburys</t>
  </si>
  <si>
    <t>DIESEL</t>
  </si>
  <si>
    <t>EUROCARPARTS</t>
  </si>
  <si>
    <t>PEÇAS VAN</t>
  </si>
  <si>
    <t>DPD</t>
  </si>
  <si>
    <t>FD49693</t>
  </si>
  <si>
    <t>MG SERVICE</t>
  </si>
  <si>
    <t>VAN SERVICE</t>
  </si>
  <si>
    <t>FD51406</t>
  </si>
  <si>
    <t>BREAK DISCS</t>
  </si>
  <si>
    <t>FD52639</t>
  </si>
  <si>
    <t>HENDY FORD</t>
  </si>
  <si>
    <t xml:space="preserve">BODY PART </t>
  </si>
  <si>
    <t>FD54328</t>
  </si>
  <si>
    <t>bq</t>
  </si>
  <si>
    <t>pe de cabra</t>
  </si>
  <si>
    <t>FD54330</t>
  </si>
  <si>
    <t>AURA</t>
  </si>
  <si>
    <t>ADESIVO VAN KAUNN</t>
  </si>
  <si>
    <t>FD72458</t>
  </si>
  <si>
    <t>GO CONTACTLESS</t>
  </si>
  <si>
    <t>B&amp;Q PRIMARK</t>
  </si>
  <si>
    <t>COMPRAS</t>
  </si>
  <si>
    <t>AMAZON</t>
  </si>
  <si>
    <t>MONITOR</t>
  </si>
  <si>
    <t>LEATHER P/CARRO</t>
  </si>
  <si>
    <t>shell</t>
  </si>
  <si>
    <t>WET WIPES</t>
  </si>
  <si>
    <t>BREAK PADS</t>
  </si>
  <si>
    <t>HEADLIGHT</t>
  </si>
  <si>
    <t>TOW ROPE</t>
  </si>
  <si>
    <t>EBAY</t>
  </si>
  <si>
    <t>SLAM LOCKS</t>
  </si>
  <si>
    <t>DOOR STRAP</t>
  </si>
  <si>
    <t>SAINSBURYS</t>
  </si>
  <si>
    <t>REAR STP MERCEDES</t>
  </si>
  <si>
    <t>MERCEDES</t>
  </si>
  <si>
    <t>FIEL FILTER SPRINTER</t>
  </si>
  <si>
    <t xml:space="preserve">GFS </t>
  </si>
  <si>
    <t>THIS TWO FIRST SPREADSHEETS SHOWS HOW I CONTROL MY BANK ACCOUNTS LINKING TO MY EXPENSES AND REVENUE TO GIVE ME A SUMMARY OF MY EARNINGS.</t>
  </si>
  <si>
    <t>IN THE SAME TAB, THERE SHOULD BE SOMEWHERE WHERE I CAN ATTACH RECEIPTS FOR VAT PURPOSES AND CALCULATION OF VAT TOO WHICH IS THE THIRD SPREADSHEET IS HOW I CALCULATE</t>
  </si>
  <si>
    <t>BANK ACCOUNT TRANSACTIONS</t>
  </si>
  <si>
    <t>IF THERE IS A OF WHEN I ADD THE SPENDING ON THE BANK ACCOUNTS TRANSACTIONS TO BE LINKED TO THE CATEGORY OR IF ITS FOR A VAN TO BE LINKED IN ITS LOG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</si>
</sst>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£&quot;#,##0.00;[Red]\-&quot;£&quot;#,##0.00"/>
    <numFmt numFmtId="44" formatCode="_-&quot;£&quot;* #,##0.00_-;\-&quot;£&quot;* #,##0.00_-;_-&quot;£&quot;* &quot;-&quot;??_-;_-@_-"/>
    <numFmt numFmtId="164" formatCode="dd/mm/yy;@"/>
    <numFmt numFmtId="165" formatCode="_-&quot;R$&quot;* #,##0.00_-;\-&quot;R$&quot;* #,##0.00_-;_-&quot;R$&quot;* &quot;-&quot;??_-;_-@_-"/>
    <numFmt numFmtId="166" formatCode="_-&quot;R$&quot;\ * #,##0.00_-;\-&quot;R$&quot;\ * #,##0.00_-;_-&quot;R$&quot;\ * &quot;-&quot;??_-;_-@_-"/>
    <numFmt numFmtId="167" formatCode="&quot;R$&quot;#,##0.00;[Red]\-&quot;R$&quot;#,##0.00"/>
    <numFmt numFmtId="168" formatCode="_-[$£-809]* #,##0.00_-;\-[$£-809]* #,##0.00_-;_-[$£-809]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.5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4"/>
      <color theme="8" tint="-0.499984740745262"/>
      <name val="Aptos Narrow"/>
      <family val="2"/>
      <scheme val="minor"/>
    </font>
    <font>
      <b/>
      <u/>
      <sz val="16"/>
      <color theme="8" tint="-0.499984740745262"/>
      <name val="Aptos Narrow"/>
      <family val="2"/>
      <scheme val="minor"/>
    </font>
    <font>
      <sz val="24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  <font>
      <b/>
      <sz val="16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ptos Narrow"/>
      <family val="2"/>
      <charset val="238"/>
      <scheme val="minor"/>
    </font>
    <font>
      <b/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gradientFill degree="90">
        <stop position="0">
          <color theme="3" tint="0.59999389629810485"/>
        </stop>
        <stop position="1">
          <color theme="3" tint="0.80001220740379042"/>
        </stop>
      </gradient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/>
      <bottom style="dotted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dotted">
        <color theme="0" tint="-0.249977111117893"/>
      </right>
      <top style="thin">
        <color indexed="64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thin">
        <color indexed="64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thin">
        <color indexed="64"/>
      </top>
      <bottom style="dotted">
        <color theme="0" tint="-0.249977111117893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thin">
        <color indexed="64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thin">
        <color indexed="64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theme="0" tint="-0.34998626667073579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thin">
        <color theme="0" tint="-0.34998626667073579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dotted">
        <color theme="0" tint="-0.24997711111789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tted">
        <color theme="0" tint="-0.249977111117893"/>
      </right>
      <top style="thin">
        <color indexed="64"/>
      </top>
      <bottom/>
      <diagonal/>
    </border>
    <border>
      <left style="dotted">
        <color theme="0" tint="-0.249977111117893"/>
      </left>
      <right style="thin">
        <color indexed="64"/>
      </right>
      <top style="thin">
        <color indexed="64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thin">
        <color indexed="64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 style="thin">
        <color indexed="64"/>
      </top>
      <bottom/>
      <diagonal/>
    </border>
    <border>
      <left style="dotted">
        <color theme="0" tint="-0.249977111117893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dotted">
        <color theme="0" tint="-0.249977111117893"/>
      </top>
      <bottom/>
      <diagonal/>
    </border>
    <border>
      <left/>
      <right style="thin">
        <color indexed="64"/>
      </right>
      <top style="hair">
        <color indexed="64"/>
      </top>
      <bottom style="dotted">
        <color theme="0" tint="-0.249977111117893"/>
      </bottom>
      <diagonal/>
    </border>
    <border>
      <left/>
      <right style="hair">
        <color indexed="64"/>
      </right>
      <top/>
      <bottom style="dotted">
        <color theme="0" tint="-0.24997711111789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dotted">
        <color theme="0" tint="-0.249977111117893"/>
      </top>
      <bottom style="dotted">
        <color theme="0" tint="-0.249977111117893"/>
      </bottom>
      <diagonal/>
    </border>
    <border>
      <left/>
      <right style="hair">
        <color indexed="64"/>
      </right>
      <top style="dotted">
        <color theme="0" tint="-0.249977111117893"/>
      </top>
      <bottom style="dotted">
        <color theme="0" tint="-0.249977111117893"/>
      </bottom>
      <diagonal/>
    </border>
    <border>
      <left/>
      <right style="hair">
        <color indexed="64"/>
      </right>
      <top style="dotted">
        <color theme="0" tint="-0.24997711111789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theme="0" tint="-0.249977111117893"/>
      </top>
      <bottom style="hair">
        <color indexed="64"/>
      </bottom>
      <diagonal/>
    </border>
    <border>
      <left/>
      <right style="thin">
        <color indexed="64"/>
      </right>
      <top style="dotted">
        <color theme="0" tint="-0.249977111117893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dotted">
        <color theme="0" tint="-0.249977111117893"/>
      </bottom>
      <diagonal/>
    </border>
    <border>
      <left style="hair">
        <color indexed="64"/>
      </left>
      <right style="hair">
        <color indexed="64"/>
      </right>
      <top style="dotted">
        <color theme="0" tint="-0.249977111117893"/>
      </top>
      <bottom/>
      <diagonal/>
    </border>
    <border>
      <left/>
      <right style="hair">
        <color indexed="64"/>
      </right>
      <top style="dotted">
        <color theme="0" tint="-0.24997711111789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5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8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8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8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8" fontId="9" fillId="0" borderId="11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13" fillId="3" borderId="4" xfId="0" applyFont="1" applyFill="1" applyBorder="1" applyAlignment="1">
      <alignment vertical="center"/>
    </xf>
    <xf numFmtId="0" fontId="2" fillId="7" borderId="1" xfId="1" applyFill="1" applyAlignment="1">
      <alignment horizontal="center" vertical="center"/>
    </xf>
    <xf numFmtId="0" fontId="2" fillId="7" borderId="27" xfId="1" applyFill="1" applyBorder="1" applyAlignment="1">
      <alignment horizontal="center" vertical="center"/>
    </xf>
    <xf numFmtId="0" fontId="4" fillId="7" borderId="28" xfId="2" applyFont="1" applyFill="1" applyBorder="1" applyAlignment="1">
      <alignment horizontal="center" vertical="center"/>
    </xf>
    <xf numFmtId="0" fontId="2" fillId="7" borderId="29" xfId="1" applyFill="1" applyBorder="1" applyAlignment="1">
      <alignment horizontal="center" vertical="center"/>
    </xf>
    <xf numFmtId="0" fontId="2" fillId="7" borderId="30" xfId="1" applyFill="1" applyBorder="1" applyAlignment="1">
      <alignment horizontal="center" vertical="center"/>
    </xf>
    <xf numFmtId="0" fontId="4" fillId="7" borderId="30" xfId="2" applyFont="1" applyFill="1" applyBorder="1" applyAlignment="1">
      <alignment horizontal="center" vertical="center"/>
    </xf>
    <xf numFmtId="0" fontId="0" fillId="8" borderId="31" xfId="0" applyFill="1" applyBorder="1"/>
    <xf numFmtId="0" fontId="15" fillId="7" borderId="32" xfId="0" applyFont="1" applyFill="1" applyBorder="1" applyAlignment="1">
      <alignment horizontal="center" vertical="center"/>
    </xf>
    <xf numFmtId="49" fontId="17" fillId="0" borderId="34" xfId="0" applyNumberFormat="1" applyFont="1" applyBorder="1" applyAlignment="1">
      <alignment horizontal="center"/>
    </xf>
    <xf numFmtId="44" fontId="17" fillId="0" borderId="35" xfId="3" applyNumberFormat="1" applyFont="1" applyFill="1" applyBorder="1" applyAlignment="1">
      <alignment horizontal="center"/>
    </xf>
    <xf numFmtId="14" fontId="17" fillId="0" borderId="36" xfId="0" applyNumberFormat="1" applyFont="1" applyBorder="1" applyAlignment="1">
      <alignment horizontal="center"/>
    </xf>
    <xf numFmtId="0" fontId="18" fillId="0" borderId="37" xfId="0" applyFont="1" applyBorder="1" applyAlignment="1">
      <alignment horizontal="center" vertical="center"/>
    </xf>
    <xf numFmtId="49" fontId="17" fillId="0" borderId="39" xfId="0" applyNumberFormat="1" applyFont="1" applyBorder="1" applyAlignment="1">
      <alignment horizontal="center"/>
    </xf>
    <xf numFmtId="44" fontId="17" fillId="0" borderId="39" xfId="3" applyNumberFormat="1" applyFont="1" applyFill="1" applyBorder="1" applyAlignment="1">
      <alignment horizontal="center"/>
    </xf>
    <xf numFmtId="14" fontId="17" fillId="0" borderId="40" xfId="0" applyNumberFormat="1" applyFont="1" applyBorder="1" applyAlignment="1">
      <alignment horizontal="center"/>
    </xf>
    <xf numFmtId="0" fontId="18" fillId="0" borderId="41" xfId="0" applyFont="1" applyBorder="1" applyAlignment="1">
      <alignment horizontal="center" vertical="center"/>
    </xf>
    <xf numFmtId="0" fontId="20" fillId="10" borderId="42" xfId="0" applyFont="1" applyFill="1" applyBorder="1"/>
    <xf numFmtId="44" fontId="21" fillId="10" borderId="42" xfId="4" applyNumberFormat="1" applyFont="1" applyFill="1" applyBorder="1"/>
    <xf numFmtId="49" fontId="17" fillId="0" borderId="44" xfId="0" applyNumberFormat="1" applyFont="1" applyBorder="1" applyAlignment="1">
      <alignment horizontal="center"/>
    </xf>
    <xf numFmtId="44" fontId="17" fillId="0" borderId="45" xfId="3" applyNumberFormat="1" applyFont="1" applyFill="1" applyBorder="1" applyAlignment="1">
      <alignment horizontal="center"/>
    </xf>
    <xf numFmtId="14" fontId="17" fillId="0" borderId="46" xfId="0" applyNumberFormat="1" applyFont="1" applyBorder="1" applyAlignment="1">
      <alignment horizontal="center"/>
    </xf>
    <xf numFmtId="0" fontId="18" fillId="0" borderId="47" xfId="0" applyFont="1" applyBorder="1" applyAlignment="1">
      <alignment horizontal="center" vertical="center"/>
    </xf>
    <xf numFmtId="49" fontId="17" fillId="0" borderId="48" xfId="0" applyNumberFormat="1" applyFont="1" applyBorder="1" applyAlignment="1">
      <alignment horizontal="center"/>
    </xf>
    <xf numFmtId="44" fontId="17" fillId="0" borderId="48" xfId="3" applyNumberFormat="1" applyFont="1" applyFill="1" applyBorder="1" applyAlignment="1">
      <alignment horizontal="center"/>
    </xf>
    <xf numFmtId="14" fontId="17" fillId="0" borderId="49" xfId="0" applyNumberFormat="1" applyFont="1" applyBorder="1" applyAlignment="1">
      <alignment horizontal="center"/>
    </xf>
    <xf numFmtId="0" fontId="18" fillId="0" borderId="50" xfId="0" applyFont="1" applyBorder="1" applyAlignment="1">
      <alignment horizontal="center" vertical="center"/>
    </xf>
    <xf numFmtId="0" fontId="6" fillId="0" borderId="32" xfId="0" applyFont="1" applyBorder="1"/>
    <xf numFmtId="44" fontId="0" fillId="0" borderId="32" xfId="4" applyNumberFormat="1" applyFont="1" applyBorder="1"/>
    <xf numFmtId="0" fontId="6" fillId="10" borderId="51" xfId="0" applyFont="1" applyFill="1" applyBorder="1"/>
    <xf numFmtId="44" fontId="0" fillId="10" borderId="51" xfId="4" applyNumberFormat="1" applyFont="1" applyFill="1" applyBorder="1"/>
    <xf numFmtId="49" fontId="17" fillId="0" borderId="52" xfId="0" applyNumberFormat="1" applyFont="1" applyBorder="1" applyAlignment="1">
      <alignment horizontal="center"/>
    </xf>
    <xf numFmtId="44" fontId="17" fillId="0" borderId="52" xfId="3" applyNumberFormat="1" applyFont="1" applyFill="1" applyBorder="1" applyAlignment="1">
      <alignment horizontal="center"/>
    </xf>
    <xf numFmtId="14" fontId="17" fillId="0" borderId="53" xfId="0" applyNumberFormat="1" applyFont="1" applyBorder="1" applyAlignment="1">
      <alignment horizontal="center"/>
    </xf>
    <xf numFmtId="0" fontId="18" fillId="0" borderId="54" xfId="0" applyFont="1" applyBorder="1" applyAlignment="1">
      <alignment horizontal="center" vertical="center"/>
    </xf>
    <xf numFmtId="0" fontId="22" fillId="10" borderId="51" xfId="0" applyFont="1" applyFill="1" applyBorder="1"/>
    <xf numFmtId="0" fontId="6" fillId="0" borderId="51" xfId="0" applyFont="1" applyBorder="1"/>
    <xf numFmtId="44" fontId="0" fillId="0" borderId="51" xfId="0" applyNumberFormat="1" applyBorder="1"/>
    <xf numFmtId="44" fontId="0" fillId="0" borderId="51" xfId="4" applyNumberFormat="1" applyFont="1" applyBorder="1"/>
    <xf numFmtId="49" fontId="17" fillId="0" borderId="57" xfId="0" applyNumberFormat="1" applyFont="1" applyBorder="1" applyAlignment="1">
      <alignment horizontal="center"/>
    </xf>
    <xf numFmtId="44" fontId="17" fillId="0" borderId="57" xfId="3" applyNumberFormat="1" applyFont="1" applyFill="1" applyBorder="1" applyAlignment="1">
      <alignment horizontal="center"/>
    </xf>
    <xf numFmtId="14" fontId="17" fillId="0" borderId="58" xfId="0" applyNumberFormat="1" applyFont="1" applyBorder="1" applyAlignment="1">
      <alignment horizontal="center"/>
    </xf>
    <xf numFmtId="0" fontId="18" fillId="0" borderId="59" xfId="0" applyFont="1" applyBorder="1" applyAlignment="1">
      <alignment horizontal="center" vertical="center"/>
    </xf>
    <xf numFmtId="14" fontId="17" fillId="0" borderId="60" xfId="0" applyNumberFormat="1" applyFont="1" applyBorder="1" applyAlignment="1">
      <alignment horizontal="center"/>
    </xf>
    <xf numFmtId="0" fontId="6" fillId="10" borderId="61" xfId="0" applyFont="1" applyFill="1" applyBorder="1"/>
    <xf numFmtId="44" fontId="0" fillId="10" borderId="61" xfId="4" applyNumberFormat="1" applyFont="1" applyFill="1" applyBorder="1"/>
    <xf numFmtId="49" fontId="17" fillId="0" borderId="62" xfId="0" applyNumberFormat="1" applyFont="1" applyBorder="1" applyAlignment="1">
      <alignment horizontal="center"/>
    </xf>
    <xf numFmtId="44" fontId="17" fillId="0" borderId="62" xfId="3" applyNumberFormat="1" applyFont="1" applyFill="1" applyBorder="1" applyAlignment="1">
      <alignment horizontal="center"/>
    </xf>
    <xf numFmtId="14" fontId="17" fillId="0" borderId="63" xfId="0" applyNumberFormat="1" applyFont="1" applyBorder="1" applyAlignment="1">
      <alignment horizontal="center"/>
    </xf>
    <xf numFmtId="0" fontId="18" fillId="0" borderId="64" xfId="0" applyFont="1" applyBorder="1" applyAlignment="1">
      <alignment horizontal="center" vertical="center"/>
    </xf>
    <xf numFmtId="0" fontId="20" fillId="10" borderId="65" xfId="0" applyFont="1" applyFill="1" applyBorder="1"/>
    <xf numFmtId="44" fontId="23" fillId="12" borderId="65" xfId="4" applyNumberFormat="1" applyFont="1" applyFill="1" applyBorder="1"/>
    <xf numFmtId="49" fontId="17" fillId="0" borderId="66" xfId="0" applyNumberFormat="1" applyFont="1" applyBorder="1" applyAlignment="1">
      <alignment horizontal="center"/>
    </xf>
    <xf numFmtId="44" fontId="17" fillId="0" borderId="66" xfId="3" applyNumberFormat="1" applyFont="1" applyFill="1" applyBorder="1" applyAlignment="1">
      <alignment horizontal="center"/>
    </xf>
    <xf numFmtId="14" fontId="17" fillId="0" borderId="67" xfId="0" applyNumberFormat="1" applyFont="1" applyBorder="1" applyAlignment="1">
      <alignment horizontal="center"/>
    </xf>
    <xf numFmtId="0" fontId="18" fillId="0" borderId="68" xfId="0" applyFont="1" applyBorder="1" applyAlignment="1">
      <alignment horizontal="center" vertical="center"/>
    </xf>
    <xf numFmtId="44" fontId="0" fillId="0" borderId="32" xfId="0" applyNumberFormat="1" applyBorder="1"/>
    <xf numFmtId="49" fontId="17" fillId="0" borderId="69" xfId="0" applyNumberFormat="1" applyFont="1" applyBorder="1" applyAlignment="1">
      <alignment horizontal="center"/>
    </xf>
    <xf numFmtId="14" fontId="17" fillId="0" borderId="45" xfId="0" applyNumberFormat="1" applyFont="1" applyBorder="1" applyAlignment="1">
      <alignment horizontal="center"/>
    </xf>
    <xf numFmtId="0" fontId="24" fillId="0" borderId="18" xfId="0" applyFont="1" applyBorder="1"/>
    <xf numFmtId="44" fontId="24" fillId="0" borderId="13" xfId="0" applyNumberFormat="1" applyFont="1" applyBorder="1"/>
    <xf numFmtId="0" fontId="0" fillId="7" borderId="0" xfId="0" applyFill="1" applyAlignment="1">
      <alignment horizontal="center"/>
    </xf>
    <xf numFmtId="0" fontId="0" fillId="14" borderId="0" xfId="0" applyFill="1"/>
    <xf numFmtId="49" fontId="17" fillId="0" borderId="72" xfId="0" applyNumberFormat="1" applyFont="1" applyBorder="1" applyAlignment="1">
      <alignment horizontal="center"/>
    </xf>
    <xf numFmtId="167" fontId="5" fillId="0" borderId="21" xfId="3" applyNumberFormat="1" applyFont="1" applyBorder="1" applyAlignment="1">
      <alignment horizontal="center"/>
    </xf>
    <xf numFmtId="44" fontId="17" fillId="15" borderId="73" xfId="3" applyNumberFormat="1" applyFont="1" applyFill="1" applyBorder="1" applyAlignment="1">
      <alignment horizontal="center"/>
    </xf>
    <xf numFmtId="14" fontId="17" fillId="15" borderId="74" xfId="0" applyNumberFormat="1" applyFont="1" applyFill="1" applyBorder="1" applyAlignment="1">
      <alignment horizontal="center"/>
    </xf>
    <xf numFmtId="0" fontId="18" fillId="15" borderId="18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/>
    </xf>
    <xf numFmtId="167" fontId="5" fillId="0" borderId="76" xfId="3" applyNumberFormat="1" applyFont="1" applyBorder="1" applyAlignment="1">
      <alignment horizontal="center"/>
    </xf>
    <xf numFmtId="49" fontId="17" fillId="0" borderId="78" xfId="0" applyNumberFormat="1" applyFont="1" applyBorder="1" applyAlignment="1">
      <alignment horizontal="center"/>
    </xf>
    <xf numFmtId="44" fontId="17" fillId="0" borderId="79" xfId="3" applyNumberFormat="1" applyFont="1" applyFill="1" applyBorder="1" applyAlignment="1">
      <alignment horizontal="center"/>
    </xf>
    <xf numFmtId="14" fontId="17" fillId="0" borderId="80" xfId="0" applyNumberFormat="1" applyFont="1" applyBorder="1" applyAlignment="1">
      <alignment horizontal="center"/>
    </xf>
    <xf numFmtId="0" fontId="18" fillId="0" borderId="81" xfId="0" applyFont="1" applyBorder="1" applyAlignment="1">
      <alignment horizontal="center" vertical="center"/>
    </xf>
    <xf numFmtId="49" fontId="17" fillId="0" borderId="82" xfId="0" applyNumberFormat="1" applyFont="1" applyBorder="1" applyAlignment="1">
      <alignment horizontal="center"/>
    </xf>
    <xf numFmtId="44" fontId="17" fillId="0" borderId="82" xfId="3" applyNumberFormat="1" applyFont="1" applyFill="1" applyBorder="1" applyAlignment="1">
      <alignment horizontal="center"/>
    </xf>
    <xf numFmtId="14" fontId="17" fillId="0" borderId="83" xfId="0" applyNumberFormat="1" applyFont="1" applyBorder="1" applyAlignment="1">
      <alignment horizontal="center"/>
    </xf>
    <xf numFmtId="0" fontId="18" fillId="0" borderId="8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167" fontId="5" fillId="0" borderId="11" xfId="0" applyNumberFormat="1" applyFont="1" applyBorder="1" applyAlignment="1">
      <alignment horizontal="center"/>
    </xf>
    <xf numFmtId="44" fontId="17" fillId="0" borderId="86" xfId="3" applyNumberFormat="1" applyFont="1" applyFill="1" applyBorder="1" applyAlignment="1">
      <alignment horizontal="center"/>
    </xf>
    <xf numFmtId="44" fontId="17" fillId="0" borderId="87" xfId="3" applyNumberFormat="1" applyFont="1" applyFill="1" applyBorder="1" applyAlignment="1">
      <alignment horizontal="center"/>
    </xf>
    <xf numFmtId="14" fontId="17" fillId="0" borderId="87" xfId="0" applyNumberFormat="1" applyFont="1" applyBorder="1" applyAlignment="1">
      <alignment horizontal="center"/>
    </xf>
    <xf numFmtId="0" fontId="18" fillId="0" borderId="8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49" fontId="17" fillId="0" borderId="60" xfId="0" applyNumberFormat="1" applyFont="1" applyBorder="1" applyAlignment="1">
      <alignment horizontal="center"/>
    </xf>
    <xf numFmtId="0" fontId="18" fillId="0" borderId="89" xfId="0" applyFont="1" applyBorder="1" applyAlignment="1">
      <alignment horizontal="center" vertical="center"/>
    </xf>
    <xf numFmtId="0" fontId="0" fillId="16" borderId="0" xfId="0" applyFill="1"/>
    <xf numFmtId="49" fontId="17" fillId="0" borderId="90" xfId="0" applyNumberFormat="1" applyFont="1" applyBorder="1" applyAlignment="1">
      <alignment horizontal="center"/>
    </xf>
    <xf numFmtId="44" fontId="17" fillId="0" borderId="91" xfId="3" applyNumberFormat="1" applyFont="1" applyFill="1" applyBorder="1" applyAlignment="1">
      <alignment horizontal="center"/>
    </xf>
    <xf numFmtId="0" fontId="18" fillId="0" borderId="92" xfId="0" applyFont="1" applyBorder="1" applyAlignment="1">
      <alignment horizontal="center" vertical="center"/>
    </xf>
    <xf numFmtId="49" fontId="17" fillId="0" borderId="93" xfId="0" applyNumberFormat="1" applyFont="1" applyBorder="1" applyAlignment="1">
      <alignment horizontal="center"/>
    </xf>
    <xf numFmtId="14" fontId="17" fillId="0" borderId="91" xfId="0" applyNumberFormat="1" applyFont="1" applyBorder="1" applyAlignment="1">
      <alignment horizontal="center"/>
    </xf>
    <xf numFmtId="49" fontId="17" fillId="0" borderId="94" xfId="0" applyNumberFormat="1" applyFont="1" applyBorder="1" applyAlignment="1">
      <alignment horizontal="center"/>
    </xf>
    <xf numFmtId="14" fontId="17" fillId="0" borderId="95" xfId="0" applyNumberFormat="1" applyFont="1" applyBorder="1" applyAlignment="1">
      <alignment horizontal="center"/>
    </xf>
    <xf numFmtId="0" fontId="18" fillId="0" borderId="96" xfId="0" applyFont="1" applyBorder="1" applyAlignment="1">
      <alignment horizontal="center" vertical="center"/>
    </xf>
    <xf numFmtId="49" fontId="17" fillId="0" borderId="97" xfId="0" applyNumberFormat="1" applyFont="1" applyBorder="1" applyAlignment="1">
      <alignment horizontal="center"/>
    </xf>
    <xf numFmtId="0" fontId="18" fillId="0" borderId="98" xfId="0" applyFont="1" applyBorder="1" applyAlignment="1">
      <alignment horizontal="center" vertical="center"/>
    </xf>
    <xf numFmtId="49" fontId="17" fillId="0" borderId="99" xfId="0" applyNumberFormat="1" applyFont="1" applyBorder="1" applyAlignment="1">
      <alignment horizontal="center"/>
    </xf>
    <xf numFmtId="44" fontId="17" fillId="0" borderId="100" xfId="3" applyNumberFormat="1" applyFont="1" applyFill="1" applyBorder="1" applyAlignment="1">
      <alignment horizontal="center"/>
    </xf>
    <xf numFmtId="49" fontId="17" fillId="0" borderId="101" xfId="0" applyNumberFormat="1" applyFont="1" applyBorder="1" applyAlignment="1">
      <alignment horizontal="center"/>
    </xf>
    <xf numFmtId="44" fontId="17" fillId="0" borderId="95" xfId="3" applyNumberFormat="1" applyFont="1" applyFill="1" applyBorder="1" applyAlignment="1">
      <alignment horizontal="center"/>
    </xf>
    <xf numFmtId="49" fontId="17" fillId="0" borderId="102" xfId="0" applyNumberFormat="1" applyFont="1" applyBorder="1" applyAlignment="1">
      <alignment horizontal="center"/>
    </xf>
    <xf numFmtId="14" fontId="17" fillId="0" borderId="35" xfId="0" applyNumberFormat="1" applyFont="1" applyBorder="1" applyAlignment="1">
      <alignment horizontal="center"/>
    </xf>
    <xf numFmtId="44" fontId="17" fillId="0" borderId="45" xfId="0" applyNumberFormat="1" applyFont="1" applyBorder="1" applyAlignment="1">
      <alignment horizontal="center"/>
    </xf>
    <xf numFmtId="49" fontId="17" fillId="0" borderId="66" xfId="0" applyNumberFormat="1" applyFont="1" applyBorder="1" applyAlignment="1">
      <alignment horizontal="left"/>
    </xf>
    <xf numFmtId="49" fontId="17" fillId="0" borderId="106" xfId="0" applyNumberFormat="1" applyFont="1" applyBorder="1" applyAlignment="1">
      <alignment horizontal="center"/>
    </xf>
    <xf numFmtId="0" fontId="18" fillId="0" borderId="107" xfId="0" applyFont="1" applyBorder="1" applyAlignment="1">
      <alignment horizontal="center" vertical="center"/>
    </xf>
    <xf numFmtId="44" fontId="17" fillId="0" borderId="74" xfId="3" applyNumberFormat="1" applyFont="1" applyFill="1" applyBorder="1" applyAlignment="1">
      <alignment horizontal="center"/>
    </xf>
    <xf numFmtId="14" fontId="17" fillId="0" borderId="74" xfId="0" applyNumberFormat="1" applyFont="1" applyBorder="1" applyAlignment="1">
      <alignment horizontal="center"/>
    </xf>
    <xf numFmtId="0" fontId="18" fillId="0" borderId="109" xfId="0" applyFont="1" applyBorder="1" applyAlignment="1">
      <alignment horizontal="center" vertical="center"/>
    </xf>
    <xf numFmtId="49" fontId="17" fillId="0" borderId="111" xfId="0" applyNumberFormat="1" applyFont="1" applyBorder="1" applyAlignment="1">
      <alignment horizontal="center"/>
    </xf>
    <xf numFmtId="44" fontId="17" fillId="0" borderId="113" xfId="3" applyNumberFormat="1" applyFont="1" applyFill="1" applyBorder="1" applyAlignment="1">
      <alignment horizontal="center"/>
    </xf>
    <xf numFmtId="14" fontId="17" fillId="0" borderId="113" xfId="0" applyNumberFormat="1" applyFont="1" applyBorder="1" applyAlignment="1">
      <alignment horizontal="center"/>
    </xf>
    <xf numFmtId="0" fontId="18" fillId="0" borderId="114" xfId="0" applyFont="1" applyBorder="1" applyAlignment="1">
      <alignment horizontal="center" vertical="center"/>
    </xf>
    <xf numFmtId="49" fontId="17" fillId="0" borderId="116" xfId="0" applyNumberFormat="1" applyFont="1" applyBorder="1" applyAlignment="1">
      <alignment horizontal="center"/>
    </xf>
    <xf numFmtId="44" fontId="17" fillId="0" borderId="117" xfId="3" applyNumberFormat="1" applyFont="1" applyFill="1" applyBorder="1" applyAlignment="1">
      <alignment horizontal="center"/>
    </xf>
    <xf numFmtId="14" fontId="17" fillId="0" borderId="117" xfId="0" applyNumberFormat="1" applyFont="1" applyBorder="1" applyAlignment="1">
      <alignment horizontal="center"/>
    </xf>
    <xf numFmtId="0" fontId="18" fillId="0" borderId="118" xfId="0" applyFont="1" applyBorder="1" applyAlignment="1">
      <alignment horizontal="center" vertical="center"/>
    </xf>
    <xf numFmtId="0" fontId="19" fillId="3" borderId="0" xfId="0" applyFont="1" applyFill="1" applyAlignment="1">
      <alignment vertical="center" wrapText="1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123" xfId="0" applyBorder="1" applyAlignment="1">
      <alignment horizontal="center"/>
    </xf>
    <xf numFmtId="8" fontId="0" fillId="0" borderId="20" xfId="0" applyNumberFormat="1" applyBorder="1" applyAlignment="1">
      <alignment horizontal="center"/>
    </xf>
    <xf numFmtId="0" fontId="5" fillId="0" borderId="13" xfId="0" applyFont="1" applyBorder="1" applyAlignment="1">
      <alignment horizontal="center"/>
    </xf>
    <xf numFmtId="8" fontId="5" fillId="0" borderId="13" xfId="0" applyNumberFormat="1" applyFont="1" applyBorder="1" applyAlignment="1">
      <alignment horizontal="center"/>
    </xf>
    <xf numFmtId="0" fontId="0" fillId="0" borderId="124" xfId="0" applyBorder="1" applyAlignment="1">
      <alignment horizontal="center"/>
    </xf>
    <xf numFmtId="8" fontId="0" fillId="0" borderId="18" xfId="0" applyNumberFormat="1" applyBorder="1" applyAlignment="1">
      <alignment horizontal="center"/>
    </xf>
    <xf numFmtId="0" fontId="5" fillId="0" borderId="125" xfId="0" applyFont="1" applyBorder="1" applyAlignment="1">
      <alignment horizontal="right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68" fontId="0" fillId="0" borderId="51" xfId="0" applyNumberForma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40" fontId="6" fillId="0" borderId="125" xfId="0" applyNumberFormat="1" applyFont="1" applyBorder="1" applyAlignment="1">
      <alignment horizontal="center"/>
    </xf>
    <xf numFmtId="40" fontId="6" fillId="0" borderId="20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8" fontId="6" fillId="0" borderId="125" xfId="0" applyNumberFormat="1" applyFont="1" applyBorder="1" applyAlignment="1">
      <alignment horizontal="center"/>
    </xf>
    <xf numFmtId="8" fontId="6" fillId="0" borderId="20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49" fontId="10" fillId="0" borderId="24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8" fontId="5" fillId="0" borderId="7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9" fillId="13" borderId="119" xfId="0" applyFont="1" applyFill="1" applyBorder="1" applyAlignment="1">
      <alignment horizontal="center" vertical="center" wrapText="1"/>
    </xf>
    <xf numFmtId="0" fontId="19" fillId="13" borderId="120" xfId="0" applyFont="1" applyFill="1" applyBorder="1" applyAlignment="1">
      <alignment horizontal="center" vertical="center" wrapText="1"/>
    </xf>
    <xf numFmtId="0" fontId="19" fillId="13" borderId="122" xfId="0" applyFont="1" applyFill="1" applyBorder="1" applyAlignment="1">
      <alignment horizontal="center" vertical="center" wrapText="1"/>
    </xf>
    <xf numFmtId="0" fontId="19" fillId="10" borderId="98" xfId="0" applyFont="1" applyFill="1" applyBorder="1" applyAlignment="1">
      <alignment horizontal="center" vertical="center" wrapText="1"/>
    </xf>
    <xf numFmtId="0" fontId="19" fillId="10" borderId="31" xfId="0" applyFont="1" applyFill="1" applyBorder="1" applyAlignment="1">
      <alignment horizontal="center" vertical="center" wrapText="1"/>
    </xf>
    <xf numFmtId="0" fontId="19" fillId="11" borderId="56" xfId="0" applyFont="1" applyFill="1" applyBorder="1" applyAlignment="1">
      <alignment horizontal="center"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77" xfId="0" applyFont="1" applyFill="1" applyBorder="1" applyAlignment="1">
      <alignment horizontal="center" vertical="center" wrapText="1"/>
    </xf>
    <xf numFmtId="0" fontId="19" fillId="11" borderId="85" xfId="0" applyFont="1" applyFill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55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/>
    </xf>
    <xf numFmtId="0" fontId="19" fillId="17" borderId="103" xfId="0" applyFont="1" applyFill="1" applyBorder="1" applyAlignment="1">
      <alignment horizontal="center" vertical="center" wrapText="1"/>
    </xf>
    <xf numFmtId="0" fontId="19" fillId="17" borderId="104" xfId="0" applyFont="1" applyFill="1" applyBorder="1" applyAlignment="1">
      <alignment horizontal="center" vertical="center" wrapText="1"/>
    </xf>
    <xf numFmtId="0" fontId="19" fillId="17" borderId="105" xfId="0" applyFont="1" applyFill="1" applyBorder="1" applyAlignment="1">
      <alignment horizontal="center" vertical="center" wrapText="1"/>
    </xf>
    <xf numFmtId="0" fontId="19" fillId="13" borderId="56" xfId="0" applyFont="1" applyFill="1" applyBorder="1" applyAlignment="1">
      <alignment horizontal="center" vertical="center" wrapText="1"/>
    </xf>
    <xf numFmtId="0" fontId="19" fillId="13" borderId="38" xfId="0" applyFont="1" applyFill="1" applyBorder="1" applyAlignment="1">
      <alignment horizontal="center" vertical="center" wrapText="1"/>
    </xf>
    <xf numFmtId="0" fontId="19" fillId="13" borderId="55" xfId="0" applyFont="1" applyFill="1" applyBorder="1" applyAlignment="1">
      <alignment horizontal="center" vertical="center" wrapText="1"/>
    </xf>
    <xf numFmtId="0" fontId="19" fillId="13" borderId="30" xfId="0" applyFont="1" applyFill="1" applyBorder="1" applyAlignment="1">
      <alignment horizontal="center" vertical="center" wrapText="1"/>
    </xf>
    <xf numFmtId="0" fontId="19" fillId="13" borderId="108" xfId="0" applyFont="1" applyFill="1" applyBorder="1" applyAlignment="1">
      <alignment horizontal="center" vertical="center" wrapText="1"/>
    </xf>
    <xf numFmtId="0" fontId="19" fillId="11" borderId="110" xfId="0" applyFont="1" applyFill="1" applyBorder="1" applyAlignment="1">
      <alignment horizontal="center" vertical="center" wrapText="1"/>
    </xf>
    <xf numFmtId="0" fontId="19" fillId="11" borderId="43" xfId="0" applyFont="1" applyFill="1" applyBorder="1" applyAlignment="1">
      <alignment horizontal="center" vertical="center" wrapText="1"/>
    </xf>
    <xf numFmtId="0" fontId="19" fillId="11" borderId="112" xfId="0" applyFont="1" applyFill="1" applyBorder="1" applyAlignment="1">
      <alignment horizontal="center" vertical="center" wrapText="1"/>
    </xf>
    <xf numFmtId="0" fontId="19" fillId="18" borderId="115" xfId="0" applyFont="1" applyFill="1" applyBorder="1" applyAlignment="1">
      <alignment horizontal="center" vertical="center" wrapText="1"/>
    </xf>
    <xf numFmtId="0" fontId="19" fillId="18" borderId="98" xfId="0" applyFont="1" applyFill="1" applyBorder="1" applyAlignment="1">
      <alignment horizontal="center" vertical="center" wrapText="1"/>
    </xf>
    <xf numFmtId="0" fontId="19" fillId="18" borderId="12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 wrapText="1"/>
    </xf>
    <xf numFmtId="0" fontId="16" fillId="9" borderId="43" xfId="0" applyFont="1" applyFill="1" applyBorder="1" applyAlignment="1">
      <alignment horizontal="center" vertical="center" wrapText="1"/>
    </xf>
    <xf numFmtId="0" fontId="19" fillId="9" borderId="38" xfId="0" applyFont="1" applyFill="1" applyBorder="1" applyAlignment="1">
      <alignment horizontal="center" vertical="center" wrapText="1"/>
    </xf>
    <xf numFmtId="0" fontId="19" fillId="9" borderId="55" xfId="0" applyFont="1" applyFill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19" fillId="15" borderId="0" xfId="0" applyFont="1" applyFill="1" applyAlignment="1">
      <alignment horizontal="center" vertical="center" wrapText="1"/>
    </xf>
    <xf numFmtId="0" fontId="19" fillId="15" borderId="30" xfId="0" applyFont="1" applyFill="1" applyBorder="1" applyAlignment="1">
      <alignment horizontal="center" vertical="center" wrapText="1"/>
    </xf>
  </cellXfs>
  <cellStyles count="5">
    <cellStyle name="Currency 2" xfId="3" xr:uid="{70452968-63EF-4A27-BD66-CE6ED3776DA6}"/>
    <cellStyle name="Heading 1" xfId="1" builtinId="16"/>
    <cellStyle name="Heading 2" xfId="2" builtinId="17"/>
    <cellStyle name="Moeda 2" xfId="4" xr:uid="{719C0FB8-0129-445A-8755-B4B9A3A33B2D}"/>
    <cellStyle name="Normal" xfId="0" builtinId="0"/>
  </cellStyles>
  <dxfs count="5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£&quot;#,##0.00;[Red]\-&quot;£&quot;#,##0.00"/>
      <alignment horizontal="center" vertical="bottom" textRotation="0" wrapText="0" indent="0" justifyLastLine="0" shrinkToFit="0" readingOrder="0"/>
    </dxf>
    <dxf>
      <numFmt numFmtId="164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£&quot;#,##0.00;[Red]\-&quot;£&quot;#,##0.00"/>
      <alignment horizontal="center" vertical="bottom" textRotation="0" wrapText="0" indent="0" justifyLastLine="0" shrinkToFit="0" readingOrder="0"/>
    </dxf>
    <dxf>
      <numFmt numFmtId="164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£&quot;#,##0.00;[Red]\-&quot;£&quot;#,##0.00"/>
      <alignment horizontal="center" vertical="bottom" textRotation="0" wrapText="0" indent="0" justifyLastLine="0" shrinkToFit="0" readingOrder="0"/>
    </dxf>
    <dxf>
      <numFmt numFmtId="164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19555</xdr:colOff>
      <xdr:row>2</xdr:row>
      <xdr:rowOff>695325</xdr:rowOff>
    </xdr:from>
    <xdr:to>
      <xdr:col>6</xdr:col>
      <xdr:colOff>95250</xdr:colOff>
      <xdr:row>2</xdr:row>
      <xdr:rowOff>741044</xdr:rowOff>
    </xdr:to>
    <xdr:sp macro="" textlink="">
      <xdr:nvSpPr>
        <xdr:cNvPr id="2" name="TextBox 113" descr="Click to clear checkmarks for January" title="Clear - January">
          <a:extLst>
            <a:ext uri="{FF2B5EF4-FFF2-40B4-BE49-F238E27FC236}">
              <a16:creationId xmlns:a16="http://schemas.microsoft.com/office/drawing/2014/main" id="{FC1E477E-BBEE-42E5-B815-308EFC5537EF}"/>
            </a:ext>
          </a:extLst>
        </xdr:cNvPr>
        <xdr:cNvSpPr txBox="1">
          <a:spLocks/>
        </xdr:cNvSpPr>
      </xdr:nvSpPr>
      <xdr:spPr>
        <a:xfrm>
          <a:off x="5361175" y="931545"/>
          <a:ext cx="7115" cy="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40FEA-D1C2-45FC-880B-A1E6A5B5C770}" name="Table171013161922253" displayName="Table171013161922253" ref="B17:F18" totalsRowShown="0" headerRowDxfId="22" dataDxfId="21">
  <autoFilter ref="B17:F18" xr:uid="{657ABC75-CB6C-46D0-8064-504E7F7217CA}"/>
  <tableColumns count="5">
    <tableColumn id="1" xr3:uid="{A4178BA4-3594-464F-ABD4-E63FBAD6C1CE}" name="DATE" dataDxfId="20"/>
    <tableColumn id="2" xr3:uid="{041838C3-A5E1-4017-A904-A7959BE7E629}" name="AMOUNT" dataDxfId="19"/>
    <tableColumn id="3" xr3:uid="{6B47CC67-0B7A-4DDD-88B8-1EE24122FA8D}" name="REASON" dataDxfId="18"/>
    <tableColumn id="4" xr3:uid="{584373C9-AB8A-4779-9B6D-B1FED8C93A37}" name="DESTINATION" dataDxfId="17"/>
    <tableColumn id="5" xr3:uid="{7E73BCC6-3C01-456C-92BF-3CB910A83148}" name="CONF.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EE0D77-2509-4921-B7F9-C3FD6DECE517}" name="Table1481114172023265" displayName="Table1481114172023265" ref="H17:L18" totalsRowShown="0" headerRowDxfId="15" dataDxfId="14">
  <autoFilter ref="H17:L18" xr:uid="{02E459F1-E850-411D-8D88-F399484613A6}"/>
  <tableColumns count="5">
    <tableColumn id="1" xr3:uid="{A86CCAB6-12A4-49BA-BB53-0E0F9AC712E2}" name="DATE" dataDxfId="13"/>
    <tableColumn id="2" xr3:uid="{849A99B1-8426-4262-98CA-6B1048264C97}" name="AMOUNT" dataDxfId="12"/>
    <tableColumn id="3" xr3:uid="{9D763C38-B1EA-42D5-A085-52BC2D4E1179}" name="REASON" dataDxfId="11"/>
    <tableColumn id="4" xr3:uid="{CB3DC9FF-1608-4695-8045-29EBDBDC6AC0}" name="DESTINATION" dataDxfId="10"/>
    <tableColumn id="5" xr3:uid="{8449FDEF-76B8-4B84-8FF1-DC7E37FBDED3}" name="CONF.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0CCA0A-E8A3-4EE7-AF0D-E082D88560BD}" name="Table146912151821242731" displayName="Table146912151821242731" ref="N17:R18" totalsRowShown="0" headerRowDxfId="8" dataDxfId="7">
  <autoFilter ref="N17:R18" xr:uid="{FEE26071-70F3-4399-9A3F-C262137D9101}"/>
  <tableColumns count="5">
    <tableColumn id="1" xr3:uid="{4AB43F45-F772-4FA2-BA5F-89B9294F7035}" name="DATE" dataDxfId="6"/>
    <tableColumn id="2" xr3:uid="{880A7CFD-D23E-4089-A5B6-4386E9854231}" name="AMOUNT" dataDxfId="5"/>
    <tableColumn id="3" xr3:uid="{F35F1F40-432C-4277-940D-D32DD71C42A5}" name="REASON" dataDxfId="4"/>
    <tableColumn id="4" xr3:uid="{4FAEE8D6-12B4-4AA2-A4BF-EB96C217038B}" name="DESTINATION" dataDxfId="3"/>
    <tableColumn id="5" xr3:uid="{99C646FE-5632-41CC-A39E-93C330B95CE0}" name="CONF." dataDxfId="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F20557-37F7-4045-89C6-F669B559911D}" name="Table152" displayName="Table152" ref="B7:F33" insertRowShift="1" totalsRowCount="1" headerRowDxfId="58" dataDxfId="57">
  <autoFilter ref="B7:F32" xr:uid="{5652D78C-7723-4805-BF40-705D85510745}"/>
  <tableColumns count="5">
    <tableColumn id="1" xr3:uid="{83FD6879-01F0-4319-A7B0-BD04AB2F22B3}" name="DATE" dataDxfId="56" totalsRowDxfId="55"/>
    <tableColumn id="2" xr3:uid="{28B0CD51-35DF-4FC6-883F-B24956486227}" name="COMPANY" dataDxfId="54" totalsRowDxfId="53"/>
    <tableColumn id="3" xr3:uid="{47B5E04C-544B-446F-8A9F-5A2C31D08F81}" name="REASON" dataDxfId="52" totalsRowDxfId="51"/>
    <tableColumn id="4" xr3:uid="{27F704C4-EF05-4833-95C2-69F720CB2418}" name="RECEIVED" totalsRowFunction="custom" dataDxfId="50" totalsRowDxfId="49">
      <totalsRowFormula>SUM(E8:E32)</totalsRowFormula>
    </tableColumn>
    <tableColumn id="5" xr3:uid="{33FDF8A1-1E8A-46EF-9A23-2F8246647A20}" name="PAID" totalsRowFunction="custom" dataDxfId="48" totalsRowDxfId="47">
      <totalsRowFormula>SUM(F8:F32)</totalsRow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805D80-FDF5-4602-B684-C59834EC287C}" name="Table1363" displayName="Table1363" ref="H7:L33" insertRowShift="1" totalsRowCount="1" headerRowDxfId="46" dataDxfId="45">
  <autoFilter ref="H7:L32" xr:uid="{BAAB485F-C9D2-4E21-BEDD-0089B75A638A}"/>
  <tableColumns count="5">
    <tableColumn id="1" xr3:uid="{804741F9-98E2-4399-9E72-8638FC3DB8AE}" name="DATE" dataDxfId="44" totalsRowDxfId="43"/>
    <tableColumn id="2" xr3:uid="{6614801D-F768-41E2-BEF7-0B097331700B}" name="COMPANY" dataDxfId="42" totalsRowDxfId="41"/>
    <tableColumn id="3" xr3:uid="{767CCB6E-5A84-43CE-9C57-3BFE5CE04474}" name="REASON" dataDxfId="40" totalsRowDxfId="39"/>
    <tableColumn id="4" xr3:uid="{F15F5884-FC2F-4FE2-8144-46C2B4504447}" name="RECEIVED" totalsRowFunction="custom" dataDxfId="38" totalsRowDxfId="37">
      <totalsRowFormula>SUM(K8:K32)</totalsRowFormula>
    </tableColumn>
    <tableColumn id="5" xr3:uid="{75D876E4-E16F-4E79-B33F-FB295C773D17}" name="PAID" totalsRowFunction="custom" dataDxfId="36" totalsRowDxfId="35">
      <totalsRowFormula>SUM(L8:L32)</totalsRow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6BAB18-4DE2-4753-BA8D-B513796CF579}" name="Table1474" displayName="Table1474" ref="N7:R33" insertRowShift="1" totalsRowCount="1" headerRowDxfId="34" dataDxfId="33">
  <autoFilter ref="N7:R32" xr:uid="{F100634D-9795-45BE-B3D9-833E854F2317}"/>
  <sortState xmlns:xlrd2="http://schemas.microsoft.com/office/spreadsheetml/2017/richdata2" ref="N8:R32">
    <sortCondition ref="N7:N32"/>
  </sortState>
  <tableColumns count="5">
    <tableColumn id="1" xr3:uid="{0B102558-F515-43FE-A72E-93059AF83087}" name="DATE" dataDxfId="32" totalsRowDxfId="31"/>
    <tableColumn id="2" xr3:uid="{4B6CA22A-4CC8-4E1E-B222-086F0A5AB595}" name="COMPANY" dataDxfId="30" totalsRowDxfId="29"/>
    <tableColumn id="3" xr3:uid="{E5FE05E7-923A-449F-93AD-AE56B3D42831}" name="REASON" dataDxfId="28" totalsRowDxfId="27"/>
    <tableColumn id="4" xr3:uid="{E2CCEED9-C3E0-405E-8AD3-3B5A2D304390}" name="RECEIVED" totalsRowFunction="custom" dataDxfId="26" totalsRowDxfId="25">
      <totalsRowFormula>SUM(Q8:Q32)</totalsRowFormula>
    </tableColumn>
    <tableColumn id="5" xr3:uid="{1F4B0D0A-5BFA-4D81-AB04-47705D9C3B92}" name="PAID" totalsRowFunction="custom" dataDxfId="24" totalsRowDxfId="23">
      <totalsRowFormula>SUM(R8:R32)</totalsRow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7730-854A-44FA-9388-8BD23E04456B}">
  <dimension ref="E6:E12"/>
  <sheetViews>
    <sheetView tabSelected="1" workbookViewId="0">
      <selection activeCell="E13" sqref="E13"/>
    </sheetView>
  </sheetViews>
  <sheetFormatPr defaultRowHeight="14.4" x14ac:dyDescent="0.3"/>
  <sheetData>
    <row r="6" spans="5:5" x14ac:dyDescent="0.3">
      <c r="E6" t="s">
        <v>192</v>
      </c>
    </row>
    <row r="8" spans="5:5" x14ac:dyDescent="0.3">
      <c r="E8" t="s">
        <v>132</v>
      </c>
    </row>
    <row r="10" spans="5:5" x14ac:dyDescent="0.3">
      <c r="E10" t="s">
        <v>193</v>
      </c>
    </row>
    <row r="12" spans="5:5" x14ac:dyDescent="0.3">
      <c r="E12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82C5-4B49-4BBE-9815-3FFFE813D880}">
  <dimension ref="B1:R23"/>
  <sheetViews>
    <sheetView workbookViewId="0">
      <pane xSplit="1" ySplit="17" topLeftCell="B18" activePane="bottomRight" state="frozen"/>
      <selection activeCell="H22" sqref="H22"/>
      <selection pane="topRight" activeCell="H22" sqref="H22"/>
      <selection pane="bottomLeft" activeCell="H22" sqref="H22"/>
      <selection pane="bottomRight" activeCell="H24" sqref="H24"/>
    </sheetView>
  </sheetViews>
  <sheetFormatPr defaultRowHeight="14.4" x14ac:dyDescent="0.3"/>
  <cols>
    <col min="1" max="1" width="0.5546875" customWidth="1"/>
    <col min="2" max="2" width="9.5546875" customWidth="1"/>
    <col min="3" max="3" width="10.44140625" customWidth="1"/>
    <col min="4" max="4" width="26.109375" customWidth="1"/>
    <col min="5" max="5" width="14.5546875" customWidth="1"/>
    <col min="6" max="6" width="8.21875" customWidth="1"/>
    <col min="7" max="7" width="0.44140625" customWidth="1"/>
    <col min="8" max="8" width="9.33203125" customWidth="1"/>
    <col min="9" max="9" width="10.44140625" customWidth="1"/>
    <col min="10" max="10" width="26.21875" customWidth="1"/>
    <col min="11" max="11" width="14.5546875" customWidth="1"/>
    <col min="12" max="12" width="8.21875" customWidth="1"/>
    <col min="13" max="13" width="0.21875" customWidth="1"/>
    <col min="14" max="14" width="8.5546875" customWidth="1"/>
    <col min="15" max="15" width="10.44140625" customWidth="1"/>
    <col min="16" max="16" width="26" customWidth="1"/>
    <col min="17" max="17" width="14.5546875" customWidth="1"/>
    <col min="18" max="18" width="8.21875" customWidth="1"/>
  </cols>
  <sheetData>
    <row r="1" spans="2:18" ht="6.6" customHeight="1" thickBot="1" x14ac:dyDescent="0.35"/>
    <row r="2" spans="2:18" ht="15" thickBot="1" x14ac:dyDescent="0.35">
      <c r="B2" s="171" t="s">
        <v>102</v>
      </c>
      <c r="C2" s="172"/>
      <c r="D2" s="173" t="s">
        <v>116</v>
      </c>
      <c r="E2" s="174"/>
      <c r="H2" s="171" t="s">
        <v>103</v>
      </c>
      <c r="I2" s="172"/>
      <c r="N2" s="175" t="s">
        <v>115</v>
      </c>
      <c r="O2" s="176"/>
    </row>
    <row r="3" spans="2:18" ht="15" thickBot="1" x14ac:dyDescent="0.35">
      <c r="B3" s="21" t="s">
        <v>104</v>
      </c>
      <c r="C3" s="20">
        <v>5000</v>
      </c>
      <c r="D3" s="173"/>
      <c r="E3" s="174"/>
      <c r="H3" s="21" t="s">
        <v>104</v>
      </c>
      <c r="I3" s="20">
        <v>5000</v>
      </c>
    </row>
    <row r="4" spans="2:18" x14ac:dyDescent="0.3">
      <c r="B4" s="14" t="s">
        <v>105</v>
      </c>
      <c r="C4" s="19" t="s">
        <v>106</v>
      </c>
      <c r="H4" s="14" t="s">
        <v>105</v>
      </c>
      <c r="I4" s="19" t="s">
        <v>106</v>
      </c>
      <c r="N4" s="177" t="s">
        <v>7</v>
      </c>
      <c r="O4" s="178"/>
    </row>
    <row r="5" spans="2:18" ht="15" thickBot="1" x14ac:dyDescent="0.35">
      <c r="B5" s="8"/>
      <c r="C5" s="7"/>
      <c r="H5" s="8"/>
      <c r="I5" s="7"/>
      <c r="N5" s="179">
        <f>E10</f>
        <v>1757.81</v>
      </c>
      <c r="O5" s="180"/>
    </row>
    <row r="6" spans="2:18" ht="15" thickBot="1" x14ac:dyDescent="0.35">
      <c r="B6" s="8"/>
      <c r="C6" s="7"/>
      <c r="H6" s="8"/>
      <c r="I6" s="7"/>
    </row>
    <row r="7" spans="2:18" ht="15" thickBot="1" x14ac:dyDescent="0.35">
      <c r="B7" s="8"/>
      <c r="C7" s="7"/>
      <c r="D7" s="181" t="s">
        <v>6</v>
      </c>
      <c r="E7" s="182"/>
      <c r="H7" s="8"/>
      <c r="I7" s="7"/>
      <c r="J7" s="181" t="s">
        <v>2</v>
      </c>
      <c r="K7" s="182"/>
      <c r="N7" s="177" t="s">
        <v>5</v>
      </c>
      <c r="O7" s="178"/>
      <c r="P7" s="182" t="s">
        <v>112</v>
      </c>
      <c r="Q7" s="182"/>
    </row>
    <row r="8" spans="2:18" s="1" customFormat="1" ht="15" thickBot="1" x14ac:dyDescent="0.35">
      <c r="B8" s="8"/>
      <c r="C8" s="7"/>
      <c r="D8" s="17" t="s">
        <v>117</v>
      </c>
      <c r="E8" s="16">
        <f>SUMIF(Table171013161922253[AMOUNT],"&gt;0",Table171013161922253[AMOUNT])</f>
        <v>0</v>
      </c>
      <c r="H8" s="8"/>
      <c r="I8" s="7"/>
      <c r="J8" s="18" t="s">
        <v>109</v>
      </c>
      <c r="K8" s="16">
        <f>SUMIF(Table1481114172023265[AMOUNT],"&gt;0",Table1481114172023265[AMOUNT])</f>
        <v>0</v>
      </c>
      <c r="N8" s="179">
        <f>K10</f>
        <v>3794.5</v>
      </c>
      <c r="O8" s="180"/>
      <c r="P8" s="17" t="s">
        <v>109</v>
      </c>
      <c r="Q8" s="16">
        <f>SUMIF(Table146912151821242731[AMOUNT],"&gt;0",Table146912151821242731[AMOUNT])</f>
        <v>0</v>
      </c>
    </row>
    <row r="9" spans="2:18" s="1" customFormat="1" ht="15" thickBot="1" x14ac:dyDescent="0.35">
      <c r="B9" s="8"/>
      <c r="C9" s="7"/>
      <c r="D9" s="15" t="s">
        <v>110</v>
      </c>
      <c r="E9" s="7">
        <f>SUMIF(Table171013161922253[AMOUNT],"&lt;0",Table171013161922253[AMOUNT])</f>
        <v>0</v>
      </c>
      <c r="H9" s="8"/>
      <c r="I9" s="7"/>
      <c r="J9" s="14" t="s">
        <v>110</v>
      </c>
      <c r="K9" s="7">
        <f>SUMIF(Table1481114172023265[AMOUNT],"&lt;0",Table1481114172023265[AMOUNT])</f>
        <v>0</v>
      </c>
      <c r="P9" s="14" t="s">
        <v>110</v>
      </c>
      <c r="Q9" s="7">
        <f>SUMIF(Table146912151821242731[AMOUNT],"&lt;0",Table146912151821242731[AMOUNT])</f>
        <v>0</v>
      </c>
    </row>
    <row r="10" spans="2:18" s="1" customFormat="1" ht="15" thickBot="1" x14ac:dyDescent="0.35">
      <c r="B10" s="8"/>
      <c r="C10" s="7"/>
      <c r="D10" s="12" t="s">
        <v>111</v>
      </c>
      <c r="E10" s="11">
        <f>E13+E8+E9</f>
        <v>1757.81</v>
      </c>
      <c r="H10" s="8"/>
      <c r="I10" s="7"/>
      <c r="J10" s="13" t="s">
        <v>111</v>
      </c>
      <c r="K10" s="11">
        <f>K13+K8+K9</f>
        <v>3794.5</v>
      </c>
      <c r="N10" s="177" t="s">
        <v>113</v>
      </c>
      <c r="O10" s="178"/>
      <c r="P10" s="12" t="s">
        <v>111</v>
      </c>
      <c r="Q10" s="11">
        <f>Q13+Q8+Q9</f>
        <v>0</v>
      </c>
    </row>
    <row r="11" spans="2:18" s="1" customFormat="1" ht="15.6" thickTop="1" thickBot="1" x14ac:dyDescent="0.35">
      <c r="B11" s="8"/>
      <c r="C11" s="7"/>
      <c r="H11" s="8"/>
      <c r="I11" s="7"/>
      <c r="N11" s="179">
        <f>Q10</f>
        <v>0</v>
      </c>
      <c r="O11" s="180"/>
    </row>
    <row r="12" spans="2:18" s="1" customFormat="1" ht="15" thickBot="1" x14ac:dyDescent="0.35">
      <c r="B12" s="8"/>
      <c r="C12" s="7"/>
      <c r="H12" s="8"/>
      <c r="I12" s="7"/>
    </row>
    <row r="13" spans="2:18" s="1" customFormat="1" ht="15" thickBot="1" x14ac:dyDescent="0.35">
      <c r="B13" s="8"/>
      <c r="C13" s="7"/>
      <c r="D13" s="10" t="s">
        <v>108</v>
      </c>
      <c r="E13" s="9">
        <v>1757.81</v>
      </c>
      <c r="H13" s="8"/>
      <c r="I13" s="7"/>
      <c r="J13" s="10" t="s">
        <v>108</v>
      </c>
      <c r="K13" s="9">
        <v>3794.5</v>
      </c>
      <c r="N13" s="183" t="s">
        <v>114</v>
      </c>
      <c r="O13" s="184"/>
      <c r="P13" s="10" t="s">
        <v>108</v>
      </c>
      <c r="Q13" s="9">
        <v>0</v>
      </c>
    </row>
    <row r="14" spans="2:18" s="1" customFormat="1" ht="15.6" thickTop="1" thickBot="1" x14ac:dyDescent="0.35">
      <c r="B14" s="8" t="s">
        <v>4</v>
      </c>
      <c r="C14" s="7">
        <f>SUM(C5:C13)</f>
        <v>0</v>
      </c>
      <c r="H14" s="8" t="s">
        <v>4</v>
      </c>
      <c r="I14" s="7">
        <f>SUM(I5:I13)</f>
        <v>0</v>
      </c>
      <c r="N14" s="185">
        <f>N5+N8+N11</f>
        <v>5552.3099999999995</v>
      </c>
      <c r="O14" s="186"/>
    </row>
    <row r="15" spans="2:18" ht="15" thickBot="1" x14ac:dyDescent="0.35">
      <c r="B15" s="6" t="s">
        <v>107</v>
      </c>
      <c r="C15" s="5">
        <f>C3+C14</f>
        <v>5000</v>
      </c>
      <c r="H15" s="6" t="s">
        <v>107</v>
      </c>
      <c r="I15" s="5">
        <f>I3+I14</f>
        <v>5000</v>
      </c>
    </row>
    <row r="16" spans="2:18" ht="16.2" thickBot="1" x14ac:dyDescent="0.35">
      <c r="B16" s="187" t="s">
        <v>3</v>
      </c>
      <c r="C16" s="188"/>
      <c r="D16" s="189"/>
      <c r="E16" s="189"/>
      <c r="F16" s="160"/>
      <c r="H16" s="159" t="s">
        <v>2</v>
      </c>
      <c r="I16" s="189"/>
      <c r="J16" s="189"/>
      <c r="K16" s="189"/>
      <c r="L16" s="160"/>
      <c r="N16" s="159" t="s">
        <v>1</v>
      </c>
      <c r="O16" s="189"/>
      <c r="P16" s="189"/>
      <c r="Q16" s="189"/>
      <c r="R16" s="160"/>
    </row>
    <row r="17" spans="2:18" x14ac:dyDescent="0.3">
      <c r="B17" s="1" t="s">
        <v>105</v>
      </c>
      <c r="C17" s="1" t="s">
        <v>106</v>
      </c>
      <c r="D17" s="1" t="s">
        <v>118</v>
      </c>
      <c r="E17" s="1" t="s">
        <v>119</v>
      </c>
      <c r="F17" s="4" t="s">
        <v>0</v>
      </c>
      <c r="H17" s="1" t="s">
        <v>105</v>
      </c>
      <c r="I17" s="1" t="s">
        <v>106</v>
      </c>
      <c r="J17" s="1" t="s">
        <v>118</v>
      </c>
      <c r="K17" s="1" t="s">
        <v>119</v>
      </c>
      <c r="L17" s="4" t="s">
        <v>0</v>
      </c>
      <c r="N17" s="1" t="s">
        <v>105</v>
      </c>
      <c r="O17" s="1" t="s">
        <v>106</v>
      </c>
      <c r="P17" s="1" t="s">
        <v>118</v>
      </c>
      <c r="Q17" s="1" t="s">
        <v>119</v>
      </c>
      <c r="R17" s="4" t="s">
        <v>0</v>
      </c>
    </row>
    <row r="18" spans="2:18" x14ac:dyDescent="0.3">
      <c r="B18" s="3"/>
      <c r="C18" s="2"/>
      <c r="D18" s="1"/>
      <c r="E18" s="1"/>
      <c r="F18" s="1"/>
      <c r="H18" s="3"/>
      <c r="I18" s="2"/>
      <c r="J18" s="1"/>
      <c r="K18" s="1"/>
      <c r="L18" s="1"/>
      <c r="N18" s="3"/>
      <c r="O18" s="2"/>
      <c r="P18" s="1"/>
      <c r="Q18" s="1"/>
      <c r="R18" s="1"/>
    </row>
    <row r="19" spans="2:18" x14ac:dyDescent="0.3">
      <c r="B19" s="3"/>
      <c r="C19" s="2"/>
      <c r="D19" s="1"/>
      <c r="E19" s="1"/>
      <c r="F19" s="1"/>
    </row>
    <row r="20" spans="2:18" x14ac:dyDescent="0.3">
      <c r="B20" s="3"/>
      <c r="C20" s="2"/>
      <c r="D20" s="1"/>
      <c r="E20" s="1"/>
      <c r="F20" s="1"/>
    </row>
    <row r="21" spans="2:18" x14ac:dyDescent="0.3">
      <c r="B21" s="3"/>
      <c r="C21" s="2"/>
      <c r="D21" s="1"/>
      <c r="E21" s="1"/>
      <c r="F21" s="1"/>
    </row>
    <row r="23" spans="2:18" x14ac:dyDescent="0.3">
      <c r="H23" t="s">
        <v>194</v>
      </c>
    </row>
  </sheetData>
  <mergeCells count="18">
    <mergeCell ref="B16:F16"/>
    <mergeCell ref="H16:L16"/>
    <mergeCell ref="N16:R16"/>
    <mergeCell ref="N8:O8"/>
    <mergeCell ref="N10:O10"/>
    <mergeCell ref="N11:O11"/>
    <mergeCell ref="N13:O13"/>
    <mergeCell ref="N14:O14"/>
    <mergeCell ref="N5:O5"/>
    <mergeCell ref="D7:E7"/>
    <mergeCell ref="J7:K7"/>
    <mergeCell ref="N7:O7"/>
    <mergeCell ref="P7:Q7"/>
    <mergeCell ref="B2:C2"/>
    <mergeCell ref="D2:E3"/>
    <mergeCell ref="H2:I2"/>
    <mergeCell ref="N2:O2"/>
    <mergeCell ref="N4:O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AA98-713B-4CE9-BF87-15691894577A}">
  <dimension ref="A1:P105"/>
  <sheetViews>
    <sheetView showGridLines="0" workbookViewId="0">
      <pane ySplit="4" topLeftCell="A43" activePane="bottomLeft" state="frozen"/>
      <selection activeCell="O6" sqref="O6"/>
      <selection pane="bottomLeft" activeCell="H41" sqref="H41:H45"/>
    </sheetView>
  </sheetViews>
  <sheetFormatPr defaultRowHeight="14.4" x14ac:dyDescent="0.3"/>
  <cols>
    <col min="1" max="1" width="1.109375" customWidth="1"/>
    <col min="2" max="2" width="16" style="1" customWidth="1"/>
    <col min="3" max="3" width="29.5546875" style="1" customWidth="1"/>
    <col min="4" max="4" width="13.5546875" style="1" customWidth="1"/>
    <col min="5" max="5" width="13.33203125" style="1" customWidth="1"/>
    <col min="6" max="6" width="4.33203125" style="1" customWidth="1"/>
    <col min="7" max="7" width="0.44140625" customWidth="1"/>
    <col min="8" max="8" width="22.5546875" style="1" bestFit="1" customWidth="1"/>
    <col min="9" max="9" width="29.44140625" style="1" customWidth="1"/>
    <col min="10" max="10" width="14.109375" customWidth="1"/>
    <col min="11" max="11" width="12" customWidth="1"/>
    <col min="12" max="12" width="5.33203125" customWidth="1"/>
    <col min="13" max="13" width="0.88671875" customWidth="1"/>
    <col min="14" max="14" width="22.33203125" customWidth="1"/>
    <col min="15" max="15" width="20.33203125" customWidth="1"/>
    <col min="16" max="16" width="0.88671875" customWidth="1"/>
  </cols>
  <sheetData>
    <row r="1" spans="1:16" ht="42.6" customHeight="1" x14ac:dyDescent="0.3">
      <c r="A1" s="216" t="s">
        <v>124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2" spans="1:16" ht="3.75" customHeight="1" thickBot="1" x14ac:dyDescent="0.35">
      <c r="A2" s="23"/>
      <c r="B2" s="24"/>
      <c r="C2" s="24"/>
      <c r="D2" s="24"/>
      <c r="E2" s="24"/>
      <c r="F2" s="24"/>
      <c r="G2" s="23"/>
      <c r="H2" s="24"/>
      <c r="I2" s="24"/>
      <c r="J2" s="23"/>
      <c r="K2" s="25"/>
      <c r="L2" s="25"/>
      <c r="M2" s="25"/>
      <c r="N2" s="25"/>
      <c r="O2" s="25"/>
      <c r="P2" s="25"/>
    </row>
    <row r="3" spans="1:16" ht="27" customHeight="1" thickBot="1" x14ac:dyDescent="0.35">
      <c r="A3" s="23"/>
      <c r="B3" s="217" t="s">
        <v>120</v>
      </c>
      <c r="C3" s="218"/>
      <c r="D3" s="218"/>
      <c r="E3" s="218"/>
      <c r="F3" s="219"/>
      <c r="G3" s="26"/>
      <c r="H3" s="220" t="s">
        <v>121</v>
      </c>
      <c r="I3" s="218"/>
      <c r="J3" s="218"/>
      <c r="K3" s="218"/>
      <c r="L3" s="221"/>
      <c r="M3" s="25"/>
      <c r="N3" s="222" t="s">
        <v>125</v>
      </c>
      <c r="O3" s="223"/>
      <c r="P3" s="25"/>
    </row>
    <row r="4" spans="1:16" ht="20.399999999999999" thickBot="1" x14ac:dyDescent="0.35">
      <c r="A4" s="23"/>
      <c r="B4" s="27" t="s">
        <v>8</v>
      </c>
      <c r="C4" s="28" t="s">
        <v>9</v>
      </c>
      <c r="D4" s="28" t="s">
        <v>10</v>
      </c>
      <c r="E4" s="28" t="s">
        <v>11</v>
      </c>
      <c r="F4" s="29" t="s">
        <v>12</v>
      </c>
      <c r="G4" s="23"/>
      <c r="H4" s="30" t="s">
        <v>8</v>
      </c>
      <c r="I4" s="31" t="s">
        <v>9</v>
      </c>
      <c r="J4" s="31" t="s">
        <v>10</v>
      </c>
      <c r="K4" s="31" t="s">
        <v>11</v>
      </c>
      <c r="L4" s="32" t="s">
        <v>12</v>
      </c>
      <c r="M4" s="33"/>
      <c r="N4" s="34" t="s">
        <v>13</v>
      </c>
      <c r="O4" s="34" t="s">
        <v>10</v>
      </c>
      <c r="P4" s="25"/>
    </row>
    <row r="5" spans="1:16" ht="16.2" customHeight="1" thickTop="1" thickBot="1" x14ac:dyDescent="0.4">
      <c r="A5" s="23"/>
      <c r="B5" s="224" t="s">
        <v>14</v>
      </c>
      <c r="C5" s="35" t="s">
        <v>122</v>
      </c>
      <c r="D5" s="36">
        <v>1484.68</v>
      </c>
      <c r="E5" s="37">
        <v>46283</v>
      </c>
      <c r="F5" s="38">
        <v>1</v>
      </c>
      <c r="G5" s="23"/>
      <c r="H5" s="226" t="s">
        <v>15</v>
      </c>
      <c r="I5" s="39" t="s">
        <v>16</v>
      </c>
      <c r="J5" s="40">
        <v>250</v>
      </c>
      <c r="K5" s="41">
        <v>46266</v>
      </c>
      <c r="L5" s="42">
        <v>1</v>
      </c>
      <c r="M5" s="25"/>
      <c r="N5" s="43" t="s">
        <v>17</v>
      </c>
      <c r="O5" s="44">
        <f>SUM(D5:D27)</f>
        <v>65880.37999999999</v>
      </c>
      <c r="P5" s="25"/>
    </row>
    <row r="6" spans="1:16" ht="16.2" customHeight="1" thickTop="1" x14ac:dyDescent="0.3">
      <c r="A6" s="23"/>
      <c r="B6" s="225"/>
      <c r="C6" s="45" t="s">
        <v>122</v>
      </c>
      <c r="D6" s="46">
        <v>1875.72</v>
      </c>
      <c r="E6" s="47">
        <v>46283</v>
      </c>
      <c r="F6" s="48">
        <v>1</v>
      </c>
      <c r="G6" s="23"/>
      <c r="H6" s="226"/>
      <c r="I6" s="49" t="s">
        <v>18</v>
      </c>
      <c r="J6" s="50">
        <v>25</v>
      </c>
      <c r="K6" s="51">
        <v>46272</v>
      </c>
      <c r="L6" s="52">
        <v>1</v>
      </c>
      <c r="M6" s="25"/>
      <c r="N6" s="53" t="s">
        <v>19</v>
      </c>
      <c r="O6" s="54">
        <f>SUM(D29:D60)</f>
        <v>38671.839999999997</v>
      </c>
      <c r="P6" s="25"/>
    </row>
    <row r="7" spans="1:16" ht="15.6" customHeight="1" x14ac:dyDescent="0.3">
      <c r="A7" s="23"/>
      <c r="B7" s="225"/>
      <c r="C7" s="45" t="s">
        <v>122</v>
      </c>
      <c r="D7" s="46">
        <v>4582.87</v>
      </c>
      <c r="E7" s="47">
        <v>46283</v>
      </c>
      <c r="F7" s="48">
        <v>1</v>
      </c>
      <c r="G7" s="23"/>
      <c r="H7" s="226"/>
      <c r="I7" s="49" t="s">
        <v>20</v>
      </c>
      <c r="J7" s="50">
        <v>16.100000000000001</v>
      </c>
      <c r="K7" s="51">
        <v>46295</v>
      </c>
      <c r="L7" s="52">
        <v>1</v>
      </c>
      <c r="M7" s="25"/>
      <c r="N7" s="55" t="s">
        <v>21</v>
      </c>
      <c r="O7" s="56">
        <f>SUM(D62:D65)</f>
        <v>0</v>
      </c>
      <c r="P7" s="25"/>
    </row>
    <row r="8" spans="1:16" ht="15.6" customHeight="1" x14ac:dyDescent="0.3">
      <c r="A8" s="23"/>
      <c r="B8" s="225"/>
      <c r="C8" s="45" t="s">
        <v>122</v>
      </c>
      <c r="D8" s="46">
        <v>5473.07</v>
      </c>
      <c r="E8" s="47">
        <v>46283</v>
      </c>
      <c r="F8" s="48">
        <v>1</v>
      </c>
      <c r="G8" s="23"/>
      <c r="H8" s="226"/>
      <c r="I8" s="57" t="s">
        <v>18</v>
      </c>
      <c r="J8" s="58">
        <v>5</v>
      </c>
      <c r="K8" s="59">
        <v>46295</v>
      </c>
      <c r="L8" s="60">
        <v>1</v>
      </c>
      <c r="M8" s="25"/>
      <c r="N8" s="55" t="s">
        <v>22</v>
      </c>
      <c r="O8" s="56">
        <f>SUM(D66:D69)</f>
        <v>0</v>
      </c>
      <c r="P8" s="25"/>
    </row>
    <row r="9" spans="1:16" ht="15.6" customHeight="1" x14ac:dyDescent="0.3">
      <c r="A9" s="23"/>
      <c r="B9" s="225"/>
      <c r="C9" s="45" t="s">
        <v>122</v>
      </c>
      <c r="D9" s="46">
        <v>8145.49</v>
      </c>
      <c r="E9" s="47">
        <v>46283</v>
      </c>
      <c r="F9" s="48">
        <v>1</v>
      </c>
      <c r="G9" s="23"/>
      <c r="H9" s="226"/>
      <c r="I9" s="57" t="s">
        <v>20</v>
      </c>
      <c r="J9" s="58">
        <v>21.65</v>
      </c>
      <c r="K9" s="59">
        <v>46295</v>
      </c>
      <c r="L9" s="60">
        <v>1</v>
      </c>
      <c r="M9" s="25"/>
      <c r="N9" s="61" t="s">
        <v>23</v>
      </c>
      <c r="O9" s="56">
        <f>SUM(D70:D82)</f>
        <v>0</v>
      </c>
      <c r="P9" s="25"/>
    </row>
    <row r="10" spans="1:16" ht="15.6" customHeight="1" x14ac:dyDescent="0.3">
      <c r="A10" s="23"/>
      <c r="B10" s="225"/>
      <c r="C10" s="45" t="s">
        <v>122</v>
      </c>
      <c r="D10" s="46">
        <v>14553.09</v>
      </c>
      <c r="E10" s="47">
        <v>46283</v>
      </c>
      <c r="F10" s="48">
        <v>1</v>
      </c>
      <c r="G10" s="23"/>
      <c r="H10" s="226"/>
      <c r="I10" s="57"/>
      <c r="J10" s="58"/>
      <c r="K10" s="59"/>
      <c r="L10" s="60"/>
      <c r="M10" s="25"/>
      <c r="N10" s="62" t="s">
        <v>24</v>
      </c>
      <c r="O10" s="63">
        <f>SUM(J5:J13)</f>
        <v>317.75</v>
      </c>
      <c r="P10" s="25"/>
    </row>
    <row r="11" spans="1:16" ht="15.6" customHeight="1" x14ac:dyDescent="0.3">
      <c r="A11" s="23"/>
      <c r="B11" s="225"/>
      <c r="C11" s="45" t="s">
        <v>123</v>
      </c>
      <c r="D11" s="46">
        <v>2563.89</v>
      </c>
      <c r="E11" s="47">
        <v>46283</v>
      </c>
      <c r="F11" s="48">
        <v>4</v>
      </c>
      <c r="G11" s="23"/>
      <c r="H11" s="226"/>
      <c r="I11" s="57"/>
      <c r="J11" s="58"/>
      <c r="K11" s="59"/>
      <c r="L11" s="60"/>
      <c r="M11" s="25"/>
      <c r="N11" s="62" t="s">
        <v>25</v>
      </c>
      <c r="O11" s="63">
        <f>SUM(J14:J20)</f>
        <v>0</v>
      </c>
      <c r="P11" s="25"/>
    </row>
    <row r="12" spans="1:16" ht="15.6" customHeight="1" x14ac:dyDescent="0.3">
      <c r="A12" s="23"/>
      <c r="B12" s="225"/>
      <c r="C12" s="45" t="s">
        <v>123</v>
      </c>
      <c r="D12" s="46">
        <v>3146.5</v>
      </c>
      <c r="E12" s="47">
        <v>46283</v>
      </c>
      <c r="F12" s="48">
        <v>4</v>
      </c>
      <c r="G12" s="23"/>
      <c r="H12" s="226"/>
      <c r="I12" s="57"/>
      <c r="J12" s="58"/>
      <c r="K12" s="59"/>
      <c r="L12" s="60"/>
      <c r="M12" s="25"/>
      <c r="N12" s="62" t="s">
        <v>26</v>
      </c>
      <c r="O12" s="63">
        <f>SUM(J21:J28)</f>
        <v>0</v>
      </c>
      <c r="P12" s="25"/>
    </row>
    <row r="13" spans="1:16" ht="15.6" customHeight="1" x14ac:dyDescent="0.3">
      <c r="A13" s="23"/>
      <c r="B13" s="225"/>
      <c r="C13" s="45" t="s">
        <v>123</v>
      </c>
      <c r="D13" s="46">
        <v>3759.2</v>
      </c>
      <c r="E13" s="47">
        <v>46283</v>
      </c>
      <c r="F13" s="48">
        <v>4</v>
      </c>
      <c r="G13" s="23"/>
      <c r="H13" s="227"/>
      <c r="I13" s="57"/>
      <c r="J13" s="58"/>
      <c r="K13" s="59"/>
      <c r="L13" s="60"/>
      <c r="M13" s="25"/>
      <c r="N13" s="62" t="s">
        <v>27</v>
      </c>
      <c r="O13" s="64">
        <f>SUM(J29:J40)</f>
        <v>145.23000000000002</v>
      </c>
      <c r="P13" s="25"/>
    </row>
    <row r="14" spans="1:16" ht="15.6" customHeight="1" x14ac:dyDescent="0.3">
      <c r="A14" s="23"/>
      <c r="B14" s="225"/>
      <c r="C14" s="45" t="s">
        <v>123</v>
      </c>
      <c r="D14" s="46">
        <v>4237.75</v>
      </c>
      <c r="E14" s="47">
        <v>46283</v>
      </c>
      <c r="F14" s="48">
        <v>4</v>
      </c>
      <c r="G14" s="23"/>
      <c r="H14" s="195" t="s">
        <v>25</v>
      </c>
      <c r="I14" s="65"/>
      <c r="J14" s="66"/>
      <c r="K14" s="67"/>
      <c r="L14" s="68"/>
      <c r="M14" s="25"/>
      <c r="N14" s="55" t="s">
        <v>28</v>
      </c>
      <c r="O14" s="56">
        <f>SUM(J41:J45)</f>
        <v>82.44</v>
      </c>
      <c r="P14" s="25"/>
    </row>
    <row r="15" spans="1:16" ht="15.6" customHeight="1" x14ac:dyDescent="0.3">
      <c r="A15" s="23"/>
      <c r="B15" s="225"/>
      <c r="C15" s="45" t="s">
        <v>123</v>
      </c>
      <c r="D15" s="46">
        <v>4374.1000000000004</v>
      </c>
      <c r="E15" s="69">
        <v>46283</v>
      </c>
      <c r="F15" s="48">
        <v>4</v>
      </c>
      <c r="G15" s="23"/>
      <c r="H15" s="196"/>
      <c r="I15" s="49"/>
      <c r="J15" s="50"/>
      <c r="K15" s="51"/>
      <c r="L15" s="52"/>
      <c r="M15" s="25"/>
      <c r="N15" s="62" t="s">
        <v>29</v>
      </c>
      <c r="O15" s="64">
        <f>SUM(J47:J52)</f>
        <v>3670.92</v>
      </c>
      <c r="P15" s="25"/>
    </row>
    <row r="16" spans="1:16" ht="15.6" customHeight="1" x14ac:dyDescent="0.3">
      <c r="A16" s="23"/>
      <c r="B16" s="225"/>
      <c r="C16" s="45" t="s">
        <v>123</v>
      </c>
      <c r="D16" s="46">
        <v>11684.02</v>
      </c>
      <c r="E16" s="69">
        <v>46283</v>
      </c>
      <c r="F16" s="48">
        <v>4</v>
      </c>
      <c r="G16" s="23"/>
      <c r="H16" s="196"/>
      <c r="I16" s="49"/>
      <c r="J16" s="50"/>
      <c r="K16" s="51"/>
      <c r="L16" s="52"/>
      <c r="M16" s="25"/>
      <c r="N16" s="55" t="s">
        <v>30</v>
      </c>
      <c r="O16" s="56">
        <f>SUM(J53:J59)</f>
        <v>3214.35</v>
      </c>
      <c r="P16" s="25"/>
    </row>
    <row r="17" spans="1:16" ht="15.6" customHeight="1" x14ac:dyDescent="0.3">
      <c r="A17" s="23"/>
      <c r="B17" s="225"/>
      <c r="C17" s="45"/>
      <c r="D17" s="46"/>
      <c r="E17" s="69"/>
      <c r="F17" s="48"/>
      <c r="G17" s="23"/>
      <c r="H17" s="196"/>
      <c r="I17" s="57"/>
      <c r="J17" s="58"/>
      <c r="K17" s="59"/>
      <c r="L17" s="60"/>
      <c r="M17" s="25"/>
      <c r="N17" s="62" t="s">
        <v>31</v>
      </c>
      <c r="O17" s="64">
        <f>SUM(J60:J66)</f>
        <v>2052.56</v>
      </c>
      <c r="P17" s="25"/>
    </row>
    <row r="18" spans="1:16" ht="15.6" customHeight="1" x14ac:dyDescent="0.3">
      <c r="A18" s="23"/>
      <c r="B18" s="225"/>
      <c r="C18" s="45"/>
      <c r="D18" s="46"/>
      <c r="E18" s="69"/>
      <c r="F18" s="48"/>
      <c r="G18" s="23"/>
      <c r="H18" s="196"/>
      <c r="I18" s="57"/>
      <c r="J18" s="58"/>
      <c r="K18" s="59"/>
      <c r="L18" s="60"/>
      <c r="M18" s="25"/>
      <c r="N18" s="62" t="s">
        <v>32</v>
      </c>
      <c r="O18" s="63">
        <f>SUM(J67:J77)</f>
        <v>2025.27</v>
      </c>
      <c r="P18" s="25"/>
    </row>
    <row r="19" spans="1:16" ht="16.2" customHeight="1" thickBot="1" x14ac:dyDescent="0.35">
      <c r="A19" s="23"/>
      <c r="B19" s="225"/>
      <c r="C19" s="45"/>
      <c r="D19" s="46"/>
      <c r="E19" s="69"/>
      <c r="F19" s="48"/>
      <c r="G19" s="23"/>
      <c r="H19" s="196"/>
      <c r="I19" s="57"/>
      <c r="J19" s="58"/>
      <c r="K19" s="59"/>
      <c r="L19" s="60"/>
      <c r="M19" s="25"/>
      <c r="N19" s="70" t="s">
        <v>33</v>
      </c>
      <c r="O19" s="71">
        <f>SUM(J78:J82)</f>
        <v>234.54000000000002</v>
      </c>
      <c r="P19" s="25"/>
    </row>
    <row r="20" spans="1:16" ht="18.600000000000001" customHeight="1" thickBot="1" x14ac:dyDescent="0.4">
      <c r="A20" s="23"/>
      <c r="B20" s="225"/>
      <c r="C20" s="45"/>
      <c r="D20" s="46"/>
      <c r="E20" s="69"/>
      <c r="F20" s="48"/>
      <c r="G20" s="23"/>
      <c r="H20" s="200"/>
      <c r="I20" s="72"/>
      <c r="J20" s="73"/>
      <c r="K20" s="74"/>
      <c r="L20" s="75"/>
      <c r="M20" s="25"/>
      <c r="N20" s="76" t="s">
        <v>34</v>
      </c>
      <c r="O20" s="77">
        <f>O5-O6-O7-O10-O11-O12-O13-O14-O15-O16-O17-O18-O19-O8-O9</f>
        <v>15465.479999999996</v>
      </c>
      <c r="P20" s="25"/>
    </row>
    <row r="21" spans="1:16" ht="16.2" customHeight="1" thickTop="1" x14ac:dyDescent="0.3">
      <c r="A21" s="23"/>
      <c r="B21" s="225"/>
      <c r="C21" s="45"/>
      <c r="D21" s="46"/>
      <c r="E21" s="69"/>
      <c r="F21" s="48"/>
      <c r="G21" s="23"/>
      <c r="H21" s="205" t="s">
        <v>35</v>
      </c>
      <c r="I21" s="78"/>
      <c r="J21" s="79"/>
      <c r="K21" s="80"/>
      <c r="L21" s="81"/>
      <c r="M21" s="25"/>
      <c r="N21" s="53" t="s">
        <v>36</v>
      </c>
      <c r="O21" s="82"/>
      <c r="P21" s="25"/>
    </row>
    <row r="22" spans="1:16" ht="15.6" customHeight="1" x14ac:dyDescent="0.3">
      <c r="A22" s="23"/>
      <c r="B22" s="225"/>
      <c r="C22" s="83"/>
      <c r="D22" s="46"/>
      <c r="E22" s="84"/>
      <c r="F22" s="48"/>
      <c r="G22" s="23"/>
      <c r="H22" s="206"/>
      <c r="I22" s="78"/>
      <c r="J22" s="79"/>
      <c r="K22" s="80"/>
      <c r="L22" s="81"/>
      <c r="M22" s="25"/>
      <c r="N22" s="55" t="s">
        <v>37</v>
      </c>
      <c r="O22" s="56"/>
      <c r="P22" s="25"/>
    </row>
    <row r="23" spans="1:16" ht="16.2" customHeight="1" thickBot="1" x14ac:dyDescent="0.35">
      <c r="A23" s="23"/>
      <c r="B23" s="225"/>
      <c r="C23" s="83"/>
      <c r="D23" s="46"/>
      <c r="E23" s="84"/>
      <c r="F23" s="48"/>
      <c r="G23" s="23"/>
      <c r="H23" s="206"/>
      <c r="I23" s="57"/>
      <c r="J23" s="58"/>
      <c r="K23" s="59"/>
      <c r="L23" s="60"/>
      <c r="M23" s="25"/>
      <c r="N23" s="85" t="s">
        <v>38</v>
      </c>
      <c r="O23" s="86">
        <f>O20-O21-O22</f>
        <v>15465.479999999996</v>
      </c>
      <c r="P23" s="25"/>
    </row>
    <row r="24" spans="1:16" ht="15.75" customHeight="1" thickTop="1" x14ac:dyDescent="0.3">
      <c r="A24" s="23"/>
      <c r="B24" s="225"/>
      <c r="C24" s="83"/>
      <c r="D24" s="46"/>
      <c r="E24" s="84"/>
      <c r="F24" s="48"/>
      <c r="G24" s="23"/>
      <c r="H24" s="206"/>
      <c r="I24" s="57"/>
      <c r="J24" s="58"/>
      <c r="K24" s="59"/>
      <c r="L24" s="60"/>
      <c r="M24" s="25"/>
      <c r="N24" s="25"/>
      <c r="O24" s="25"/>
      <c r="P24" s="25"/>
    </row>
    <row r="25" spans="1:16" ht="16.2" customHeight="1" thickBot="1" x14ac:dyDescent="0.35">
      <c r="A25" s="23"/>
      <c r="B25" s="225"/>
      <c r="C25" s="83"/>
      <c r="D25" s="46"/>
      <c r="E25" s="84"/>
      <c r="F25" s="48"/>
      <c r="G25" s="23"/>
      <c r="H25" s="206"/>
      <c r="I25" s="57"/>
      <c r="J25" s="58"/>
      <c r="K25" s="59"/>
      <c r="L25" s="60"/>
      <c r="M25" s="25"/>
      <c r="N25" s="87"/>
      <c r="O25" s="87"/>
      <c r="P25" s="25"/>
    </row>
    <row r="26" spans="1:16" ht="18" customHeight="1" thickBot="1" x14ac:dyDescent="0.35">
      <c r="A26" s="23"/>
      <c r="B26" s="225"/>
      <c r="C26" s="83"/>
      <c r="D26" s="46"/>
      <c r="E26" s="84"/>
      <c r="F26" s="48"/>
      <c r="G26" s="88"/>
      <c r="H26" s="206"/>
      <c r="I26" s="57"/>
      <c r="J26" s="58"/>
      <c r="K26" s="59"/>
      <c r="L26" s="60"/>
      <c r="M26" s="25"/>
      <c r="N26" s="228" t="s">
        <v>39</v>
      </c>
      <c r="O26" s="229"/>
      <c r="P26" s="25"/>
    </row>
    <row r="27" spans="1:16" ht="18" customHeight="1" x14ac:dyDescent="0.3">
      <c r="A27" s="23"/>
      <c r="B27" s="225"/>
      <c r="C27" s="89"/>
      <c r="D27" s="46"/>
      <c r="E27" s="84"/>
      <c r="F27" s="48"/>
      <c r="G27" s="88"/>
      <c r="H27" s="206"/>
      <c r="I27" s="57"/>
      <c r="J27" s="58"/>
      <c r="K27" s="59"/>
      <c r="L27" s="60"/>
      <c r="M27" s="25"/>
      <c r="N27" s="22" t="s">
        <v>40</v>
      </c>
      <c r="O27" s="90" cm="1">
        <f t="array" ref="O27">SUMPRODUCT((I47:I52=N27)*J47:J52)</f>
        <v>0</v>
      </c>
      <c r="P27" s="25"/>
    </row>
    <row r="28" spans="1:16" ht="15.6" customHeight="1" thickBot="1" x14ac:dyDescent="0.35">
      <c r="A28" s="23"/>
      <c r="B28" s="230" t="s">
        <v>41</v>
      </c>
      <c r="C28" s="231"/>
      <c r="D28" s="91">
        <f ca="1">SUM(D5:D39)</f>
        <v>0</v>
      </c>
      <c r="E28" s="92"/>
      <c r="F28" s="93"/>
      <c r="G28" s="88"/>
      <c r="H28" s="207"/>
      <c r="I28" s="72"/>
      <c r="J28" s="73"/>
      <c r="K28" s="74"/>
      <c r="L28" s="75"/>
      <c r="M28" s="25"/>
      <c r="N28" s="94" t="s">
        <v>42</v>
      </c>
      <c r="O28" s="95" cm="1">
        <f t="array" ref="O28">SUMPRODUCT((I47:I52=N28)*J47:J52)</f>
        <v>0</v>
      </c>
      <c r="P28" s="25"/>
    </row>
    <row r="29" spans="1:16" ht="14.4" customHeight="1" thickTop="1" x14ac:dyDescent="0.3">
      <c r="A29" s="23"/>
      <c r="B29" s="197" t="s">
        <v>43</v>
      </c>
      <c r="C29" s="96" t="s">
        <v>44</v>
      </c>
      <c r="D29" s="97">
        <v>50</v>
      </c>
      <c r="E29" s="98">
        <v>46279</v>
      </c>
      <c r="F29" s="99">
        <v>1</v>
      </c>
      <c r="G29" s="88"/>
      <c r="H29" s="195" t="s">
        <v>131</v>
      </c>
      <c r="I29" s="100" t="s">
        <v>45</v>
      </c>
      <c r="J29" s="101">
        <v>20.94</v>
      </c>
      <c r="K29" s="102">
        <v>46279</v>
      </c>
      <c r="L29" s="103">
        <v>1</v>
      </c>
      <c r="M29" s="25"/>
      <c r="N29" s="104" t="s">
        <v>46</v>
      </c>
      <c r="O29" s="105" cm="1">
        <f t="array" ref="O29">SUMPRODUCT((I47:I52=N29)*J47:J52)</f>
        <v>0</v>
      </c>
      <c r="P29" s="25"/>
    </row>
    <row r="30" spans="1:16" ht="16.2" thickBot="1" x14ac:dyDescent="0.35">
      <c r="A30" s="23"/>
      <c r="B30" s="198"/>
      <c r="C30" s="106" t="s">
        <v>47</v>
      </c>
      <c r="D30" s="107">
        <v>300</v>
      </c>
      <c r="E30" s="108">
        <v>46266</v>
      </c>
      <c r="F30" s="109">
        <v>1</v>
      </c>
      <c r="G30" s="88"/>
      <c r="H30" s="196"/>
      <c r="I30" s="57" t="s">
        <v>48</v>
      </c>
      <c r="J30" s="58">
        <v>11.36</v>
      </c>
      <c r="K30" s="59">
        <v>46293</v>
      </c>
      <c r="L30" s="60">
        <v>1</v>
      </c>
      <c r="M30" s="25"/>
      <c r="N30" s="110" t="s">
        <v>4</v>
      </c>
      <c r="O30" s="111">
        <f>O27+O28+O29</f>
        <v>0</v>
      </c>
      <c r="P30" s="25"/>
    </row>
    <row r="31" spans="1:16" ht="15.6" x14ac:dyDescent="0.3">
      <c r="A31" s="23"/>
      <c r="B31" s="198"/>
      <c r="C31" s="112" t="s">
        <v>47</v>
      </c>
      <c r="D31" s="46">
        <v>100</v>
      </c>
      <c r="E31" s="84">
        <v>46272</v>
      </c>
      <c r="F31" s="113">
        <v>1</v>
      </c>
      <c r="G31" s="88"/>
      <c r="H31" s="196"/>
      <c r="I31" s="57" t="s">
        <v>49</v>
      </c>
      <c r="J31" s="58">
        <v>8.74</v>
      </c>
      <c r="K31" s="59">
        <v>46293</v>
      </c>
      <c r="L31" s="60">
        <v>1</v>
      </c>
      <c r="M31" s="25"/>
      <c r="N31" s="114"/>
      <c r="O31" s="114"/>
      <c r="P31" s="114"/>
    </row>
    <row r="32" spans="1:16" ht="15.6" x14ac:dyDescent="0.3">
      <c r="A32" s="23"/>
      <c r="B32" s="198"/>
      <c r="C32" s="115" t="s">
        <v>50</v>
      </c>
      <c r="D32" s="116">
        <v>100</v>
      </c>
      <c r="E32" s="84">
        <v>46272</v>
      </c>
      <c r="F32" s="117">
        <v>1</v>
      </c>
      <c r="G32" s="88"/>
      <c r="H32" s="196"/>
      <c r="I32" s="57" t="s">
        <v>51</v>
      </c>
      <c r="J32" s="58">
        <v>32.450000000000003</v>
      </c>
      <c r="K32" s="59">
        <v>46286</v>
      </c>
      <c r="L32" s="60">
        <v>1</v>
      </c>
      <c r="M32" s="25"/>
      <c r="N32" s="114"/>
      <c r="O32" s="114"/>
      <c r="P32" s="114"/>
    </row>
    <row r="33" spans="1:16" ht="15.6" x14ac:dyDescent="0.3">
      <c r="A33" s="23"/>
      <c r="B33" s="198"/>
      <c r="C33" s="118" t="s">
        <v>52</v>
      </c>
      <c r="D33" s="46">
        <v>100</v>
      </c>
      <c r="E33" s="119">
        <v>46273</v>
      </c>
      <c r="F33" s="109">
        <v>1</v>
      </c>
      <c r="G33" s="88"/>
      <c r="H33" s="196"/>
      <c r="I33" s="57" t="s">
        <v>53</v>
      </c>
      <c r="J33" s="58">
        <v>18.899999999999999</v>
      </c>
      <c r="K33" s="59">
        <v>46286</v>
      </c>
      <c r="L33" s="60">
        <v>1</v>
      </c>
      <c r="M33" s="25"/>
      <c r="N33" s="114"/>
      <c r="O33" s="114"/>
      <c r="P33" s="114"/>
    </row>
    <row r="34" spans="1:16" ht="15.6" x14ac:dyDescent="0.3">
      <c r="A34" s="23"/>
      <c r="B34" s="198"/>
      <c r="C34" s="120" t="s">
        <v>50</v>
      </c>
      <c r="D34" s="46">
        <v>50</v>
      </c>
      <c r="E34" s="121">
        <v>46274</v>
      </c>
      <c r="F34" s="122">
        <v>1</v>
      </c>
      <c r="G34" s="88"/>
      <c r="H34" s="196"/>
      <c r="I34" s="57" t="s">
        <v>54</v>
      </c>
      <c r="J34" s="58">
        <v>30</v>
      </c>
      <c r="K34" s="59">
        <v>46288</v>
      </c>
      <c r="L34" s="60">
        <v>1</v>
      </c>
      <c r="M34" s="25"/>
      <c r="N34" s="114"/>
      <c r="O34" s="114"/>
      <c r="P34" s="114"/>
    </row>
    <row r="35" spans="1:16" ht="15.6" x14ac:dyDescent="0.3">
      <c r="A35" s="23"/>
      <c r="B35" s="198"/>
      <c r="C35" s="123" t="s">
        <v>50</v>
      </c>
      <c r="D35" s="116">
        <v>100</v>
      </c>
      <c r="E35" s="119">
        <v>46280</v>
      </c>
      <c r="F35" s="124">
        <v>1</v>
      </c>
      <c r="G35" s="88"/>
      <c r="H35" s="196"/>
      <c r="I35" s="57"/>
      <c r="J35" s="58"/>
      <c r="K35" s="59"/>
      <c r="L35" s="60"/>
      <c r="M35" s="25"/>
      <c r="N35" s="114"/>
      <c r="O35" s="114"/>
      <c r="P35" s="114"/>
    </row>
    <row r="36" spans="1:16" ht="15.6" x14ac:dyDescent="0.3">
      <c r="A36" s="23"/>
      <c r="B36" s="198"/>
      <c r="C36" s="125" t="s">
        <v>47</v>
      </c>
      <c r="D36" s="126">
        <v>100</v>
      </c>
      <c r="E36" s="121">
        <v>46281</v>
      </c>
      <c r="F36" s="109">
        <v>1</v>
      </c>
      <c r="G36" s="88"/>
      <c r="H36" s="196"/>
      <c r="I36" s="57"/>
      <c r="J36" s="58"/>
      <c r="K36" s="59"/>
      <c r="L36" s="60"/>
      <c r="M36" s="25"/>
      <c r="N36" s="114"/>
      <c r="O36" s="114"/>
      <c r="P36" s="114"/>
    </row>
    <row r="37" spans="1:16" ht="15.6" x14ac:dyDescent="0.3">
      <c r="A37" s="23"/>
      <c r="B37" s="198"/>
      <c r="C37" s="127" t="s">
        <v>55</v>
      </c>
      <c r="D37" s="128">
        <v>100</v>
      </c>
      <c r="E37" s="84">
        <v>46281</v>
      </c>
      <c r="F37" s="109">
        <v>1</v>
      </c>
      <c r="G37" s="88"/>
      <c r="H37" s="196"/>
      <c r="I37" s="57"/>
      <c r="J37" s="58"/>
      <c r="K37" s="59"/>
      <c r="L37" s="60"/>
      <c r="M37" s="25"/>
      <c r="N37" s="114"/>
      <c r="O37" s="114"/>
      <c r="P37" s="114"/>
    </row>
    <row r="38" spans="1:16" ht="15.6" x14ac:dyDescent="0.3">
      <c r="A38" s="23"/>
      <c r="B38" s="198"/>
      <c r="C38" s="127" t="s">
        <v>56</v>
      </c>
      <c r="D38" s="128">
        <v>693.17</v>
      </c>
      <c r="E38" s="84">
        <v>46283</v>
      </c>
      <c r="F38" s="109">
        <v>1</v>
      </c>
      <c r="G38" s="88"/>
      <c r="H38" s="196"/>
      <c r="I38" s="57"/>
      <c r="J38" s="58"/>
      <c r="K38" s="59"/>
      <c r="L38" s="60"/>
      <c r="M38" s="25"/>
      <c r="N38" s="114"/>
      <c r="O38" s="114"/>
      <c r="P38" s="114"/>
    </row>
    <row r="39" spans="1:16" ht="15.6" x14ac:dyDescent="0.3">
      <c r="A39" s="23"/>
      <c r="B39" s="198"/>
      <c r="C39" s="127" t="s">
        <v>57</v>
      </c>
      <c r="D39" s="128">
        <v>1417.49</v>
      </c>
      <c r="E39" s="84">
        <v>46283</v>
      </c>
      <c r="F39" s="109">
        <v>4</v>
      </c>
      <c r="G39" s="88"/>
      <c r="H39" s="196"/>
      <c r="I39" s="57"/>
      <c r="J39" s="58"/>
      <c r="K39" s="59"/>
      <c r="L39" s="60"/>
      <c r="M39" s="25"/>
      <c r="N39" s="114"/>
      <c r="O39" s="114"/>
      <c r="P39" s="114"/>
    </row>
    <row r="40" spans="1:16" ht="15.6" x14ac:dyDescent="0.3">
      <c r="A40" s="23"/>
      <c r="B40" s="198"/>
      <c r="C40" s="127" t="s">
        <v>58</v>
      </c>
      <c r="D40" s="128">
        <v>3547.01</v>
      </c>
      <c r="E40" s="84">
        <v>46283</v>
      </c>
      <c r="F40" s="109">
        <v>4</v>
      </c>
      <c r="G40" s="88"/>
      <c r="H40" s="200"/>
      <c r="I40" s="72" t="s">
        <v>59</v>
      </c>
      <c r="J40" s="73">
        <v>22.84</v>
      </c>
      <c r="K40" s="74">
        <v>46295</v>
      </c>
      <c r="L40" s="75">
        <v>1</v>
      </c>
      <c r="M40" s="25"/>
      <c r="N40" s="114"/>
      <c r="O40" s="114"/>
      <c r="P40" s="114"/>
    </row>
    <row r="41" spans="1:16" ht="15.6" customHeight="1" x14ac:dyDescent="0.3">
      <c r="A41" s="23"/>
      <c r="B41" s="198"/>
      <c r="C41" s="129" t="s">
        <v>60</v>
      </c>
      <c r="D41" s="36">
        <v>1521.04</v>
      </c>
      <c r="E41" s="130">
        <v>46283</v>
      </c>
      <c r="F41" s="48">
        <v>4</v>
      </c>
      <c r="G41" s="88"/>
      <c r="H41" s="201" t="s">
        <v>130</v>
      </c>
      <c r="I41" s="78" t="s">
        <v>61</v>
      </c>
      <c r="J41" s="79">
        <v>21.39</v>
      </c>
      <c r="K41" s="80">
        <v>46276</v>
      </c>
      <c r="L41" s="81">
        <v>1</v>
      </c>
      <c r="M41" s="25"/>
      <c r="N41" s="114"/>
      <c r="O41" s="114"/>
      <c r="P41" s="114"/>
    </row>
    <row r="42" spans="1:16" ht="15.6" x14ac:dyDescent="0.3">
      <c r="A42" s="23"/>
      <c r="B42" s="198"/>
      <c r="C42" s="112" t="s">
        <v>62</v>
      </c>
      <c r="D42" s="36">
        <v>3676</v>
      </c>
      <c r="E42" s="130">
        <v>46283</v>
      </c>
      <c r="F42" s="48">
        <v>4</v>
      </c>
      <c r="G42" s="88"/>
      <c r="H42" s="201"/>
      <c r="I42" s="78" t="s">
        <v>63</v>
      </c>
      <c r="J42" s="79">
        <v>19.98</v>
      </c>
      <c r="K42" s="80">
        <v>46276</v>
      </c>
      <c r="L42" s="81">
        <v>1</v>
      </c>
      <c r="M42" s="25"/>
      <c r="N42" s="114"/>
      <c r="O42" s="114"/>
      <c r="P42" s="114"/>
    </row>
    <row r="43" spans="1:16" ht="15.6" x14ac:dyDescent="0.3">
      <c r="A43" s="23"/>
      <c r="B43" s="198"/>
      <c r="C43" s="112" t="s">
        <v>64</v>
      </c>
      <c r="D43" s="36">
        <v>3323.15</v>
      </c>
      <c r="E43" s="130">
        <v>46283</v>
      </c>
      <c r="F43" s="48">
        <v>4</v>
      </c>
      <c r="G43" s="88"/>
      <c r="H43" s="201"/>
      <c r="I43" s="57" t="s">
        <v>59</v>
      </c>
      <c r="J43" s="58">
        <v>6.33</v>
      </c>
      <c r="K43" s="59">
        <v>46294</v>
      </c>
      <c r="L43" s="60">
        <v>1</v>
      </c>
      <c r="M43" s="25"/>
      <c r="N43" s="114"/>
      <c r="O43" s="114"/>
      <c r="P43" s="114"/>
    </row>
    <row r="44" spans="1:16" ht="15.6" x14ac:dyDescent="0.3">
      <c r="A44" s="23"/>
      <c r="B44" s="198"/>
      <c r="C44" s="112" t="s">
        <v>65</v>
      </c>
      <c r="D44" s="36">
        <v>2793.54</v>
      </c>
      <c r="E44" s="130">
        <v>46283</v>
      </c>
      <c r="F44" s="48">
        <v>4</v>
      </c>
      <c r="G44" s="88"/>
      <c r="H44" s="201"/>
      <c r="I44" s="57" t="s">
        <v>53</v>
      </c>
      <c r="J44" s="58">
        <v>20.2</v>
      </c>
      <c r="K44" s="59">
        <v>46279</v>
      </c>
      <c r="L44" s="60">
        <v>1</v>
      </c>
      <c r="M44" s="25"/>
      <c r="N44" s="114"/>
      <c r="O44" s="114"/>
      <c r="P44" s="114"/>
    </row>
    <row r="45" spans="1:16" ht="15.6" x14ac:dyDescent="0.3">
      <c r="A45" s="23"/>
      <c r="B45" s="198"/>
      <c r="C45" s="112" t="s">
        <v>66</v>
      </c>
      <c r="D45" s="36">
        <v>842.72</v>
      </c>
      <c r="E45" s="130">
        <v>46283</v>
      </c>
      <c r="F45" s="48">
        <v>4</v>
      </c>
      <c r="G45" s="88"/>
      <c r="H45" s="201"/>
      <c r="I45" s="57" t="s">
        <v>59</v>
      </c>
      <c r="J45" s="58">
        <v>14.54</v>
      </c>
      <c r="K45" s="59">
        <v>46294</v>
      </c>
      <c r="L45" s="60">
        <v>1</v>
      </c>
      <c r="M45" s="25"/>
      <c r="N45" s="114"/>
      <c r="O45" s="114"/>
      <c r="P45" s="114"/>
    </row>
    <row r="46" spans="1:16" ht="16.2" thickBot="1" x14ac:dyDescent="0.35">
      <c r="A46" s="23"/>
      <c r="B46" s="198"/>
      <c r="C46" s="112" t="s">
        <v>67</v>
      </c>
      <c r="D46" s="36">
        <v>3377.48</v>
      </c>
      <c r="E46" s="130">
        <v>46283</v>
      </c>
      <c r="F46" s="48">
        <v>4</v>
      </c>
      <c r="G46" s="88"/>
      <c r="H46" s="202" t="s">
        <v>68</v>
      </c>
      <c r="I46" s="203"/>
      <c r="J46" s="203"/>
      <c r="K46" s="203"/>
      <c r="L46" s="204"/>
      <c r="M46" s="25"/>
      <c r="N46" s="114"/>
      <c r="O46" s="114"/>
      <c r="P46" s="114"/>
    </row>
    <row r="47" spans="1:16" ht="15.6" x14ac:dyDescent="0.3">
      <c r="A47" s="23"/>
      <c r="B47" s="198"/>
      <c r="C47" s="112" t="s">
        <v>69</v>
      </c>
      <c r="D47" s="36">
        <v>4032.06</v>
      </c>
      <c r="E47" s="130">
        <v>46283</v>
      </c>
      <c r="F47" s="48">
        <v>4</v>
      </c>
      <c r="G47" s="88"/>
      <c r="H47" s="196" t="s">
        <v>129</v>
      </c>
      <c r="I47" s="78" t="s">
        <v>70</v>
      </c>
      <c r="J47" s="79">
        <v>2982.92</v>
      </c>
      <c r="K47" s="80">
        <v>46267</v>
      </c>
      <c r="L47" s="81">
        <v>1</v>
      </c>
      <c r="M47" s="25"/>
      <c r="N47" s="114"/>
      <c r="O47" s="114"/>
      <c r="P47" s="114"/>
    </row>
    <row r="48" spans="1:16" ht="15.6" x14ac:dyDescent="0.3">
      <c r="A48" s="23"/>
      <c r="B48" s="198"/>
      <c r="C48" s="112" t="s">
        <v>71</v>
      </c>
      <c r="D48" s="36">
        <v>3272.93</v>
      </c>
      <c r="E48" s="130">
        <v>46283</v>
      </c>
      <c r="F48" s="48">
        <v>4</v>
      </c>
      <c r="G48" s="88"/>
      <c r="H48" s="196"/>
      <c r="I48" s="57" t="s">
        <v>72</v>
      </c>
      <c r="J48" s="58">
        <v>176.64</v>
      </c>
      <c r="K48" s="59">
        <v>46276</v>
      </c>
      <c r="L48" s="60">
        <v>1</v>
      </c>
      <c r="M48" s="25"/>
      <c r="N48" s="114"/>
      <c r="O48" s="114"/>
      <c r="P48" s="114"/>
    </row>
    <row r="49" spans="1:16" ht="15.6" x14ac:dyDescent="0.3">
      <c r="A49" s="23"/>
      <c r="B49" s="198"/>
      <c r="C49" s="129" t="s">
        <v>73</v>
      </c>
      <c r="D49" s="36">
        <v>2536.5100000000002</v>
      </c>
      <c r="E49" s="130">
        <v>46283</v>
      </c>
      <c r="F49" s="38">
        <v>4</v>
      </c>
      <c r="G49" s="88"/>
      <c r="H49" s="196"/>
      <c r="I49" s="57" t="s">
        <v>74</v>
      </c>
      <c r="J49" s="58">
        <v>200</v>
      </c>
      <c r="K49" s="59">
        <v>46288</v>
      </c>
      <c r="L49" s="60">
        <v>1</v>
      </c>
      <c r="M49" s="25"/>
      <c r="N49" s="114"/>
      <c r="O49" s="114"/>
      <c r="P49" s="114"/>
    </row>
    <row r="50" spans="1:16" ht="15.6" x14ac:dyDescent="0.3">
      <c r="A50" s="23"/>
      <c r="B50" s="198"/>
      <c r="C50" s="129" t="s">
        <v>75</v>
      </c>
      <c r="D50" s="36">
        <v>3036.33</v>
      </c>
      <c r="E50" s="130">
        <v>46283</v>
      </c>
      <c r="F50" s="38">
        <v>4</v>
      </c>
      <c r="G50" s="88"/>
      <c r="H50" s="196"/>
      <c r="I50" s="57" t="s">
        <v>76</v>
      </c>
      <c r="J50" s="58">
        <v>23.06</v>
      </c>
      <c r="K50" s="59">
        <v>46293</v>
      </c>
      <c r="L50" s="60">
        <v>1</v>
      </c>
      <c r="M50" s="25"/>
      <c r="N50" s="114"/>
      <c r="O50" s="114"/>
      <c r="P50" s="114"/>
    </row>
    <row r="51" spans="1:16" ht="15.6" x14ac:dyDescent="0.3">
      <c r="A51" s="23"/>
      <c r="B51" s="198"/>
      <c r="C51" s="69" t="s">
        <v>77</v>
      </c>
      <c r="D51" s="131">
        <v>2102.41</v>
      </c>
      <c r="E51" s="84">
        <v>46283</v>
      </c>
      <c r="F51" s="48">
        <v>4</v>
      </c>
      <c r="G51" s="88"/>
      <c r="H51" s="196"/>
      <c r="I51" s="57" t="s">
        <v>78</v>
      </c>
      <c r="J51" s="58">
        <v>193.44</v>
      </c>
      <c r="K51" s="59">
        <v>46268</v>
      </c>
      <c r="L51" s="60">
        <v>1</v>
      </c>
      <c r="M51" s="25"/>
      <c r="N51" s="114"/>
      <c r="O51" s="114"/>
      <c r="P51" s="114"/>
    </row>
    <row r="52" spans="1:16" ht="15.6" x14ac:dyDescent="0.3">
      <c r="A52" s="23"/>
      <c r="B52" s="198"/>
      <c r="C52" s="112" t="s">
        <v>47</v>
      </c>
      <c r="D52" s="46">
        <v>200</v>
      </c>
      <c r="E52" s="84">
        <v>46286</v>
      </c>
      <c r="F52" s="48">
        <v>1</v>
      </c>
      <c r="G52" s="88"/>
      <c r="H52" s="200"/>
      <c r="I52" s="72" t="s">
        <v>79</v>
      </c>
      <c r="J52" s="73">
        <v>94.86</v>
      </c>
      <c r="K52" s="74">
        <v>46279</v>
      </c>
      <c r="L52" s="75">
        <v>1</v>
      </c>
      <c r="M52" s="23"/>
      <c r="N52" s="114"/>
      <c r="O52" s="114"/>
      <c r="P52" s="114"/>
    </row>
    <row r="53" spans="1:16" ht="15.6" x14ac:dyDescent="0.3">
      <c r="A53" s="23"/>
      <c r="B53" s="198"/>
      <c r="C53" s="112" t="s">
        <v>80</v>
      </c>
      <c r="D53" s="46">
        <v>400</v>
      </c>
      <c r="E53" s="84">
        <v>46287</v>
      </c>
      <c r="F53" s="48">
        <v>1</v>
      </c>
      <c r="G53" s="88"/>
      <c r="H53" s="205" t="s">
        <v>128</v>
      </c>
      <c r="I53" s="100" t="s">
        <v>81</v>
      </c>
      <c r="J53" s="101">
        <v>750</v>
      </c>
      <c r="K53" s="102"/>
      <c r="L53" s="103"/>
      <c r="M53" s="23"/>
      <c r="N53" s="114"/>
      <c r="O53" s="114"/>
      <c r="P53" s="114"/>
    </row>
    <row r="54" spans="1:16" ht="15.6" x14ac:dyDescent="0.3">
      <c r="A54" s="23"/>
      <c r="B54" s="198"/>
      <c r="C54" s="112" t="s">
        <v>47</v>
      </c>
      <c r="D54" s="46">
        <v>150</v>
      </c>
      <c r="E54" s="84">
        <v>46290</v>
      </c>
      <c r="F54" s="48">
        <v>1</v>
      </c>
      <c r="G54" s="88"/>
      <c r="H54" s="206"/>
      <c r="I54" s="132" t="s">
        <v>82</v>
      </c>
      <c r="J54" s="79">
        <v>441.72</v>
      </c>
      <c r="K54" s="80">
        <v>46275</v>
      </c>
      <c r="L54" s="81">
        <v>1</v>
      </c>
      <c r="M54" s="23"/>
      <c r="N54" s="114"/>
      <c r="O54" s="114"/>
      <c r="P54" s="114"/>
    </row>
    <row r="55" spans="1:16" ht="15.6" x14ac:dyDescent="0.3">
      <c r="A55" s="23"/>
      <c r="B55" s="198"/>
      <c r="C55" s="112" t="s">
        <v>47</v>
      </c>
      <c r="D55" s="46">
        <v>250</v>
      </c>
      <c r="E55" s="84">
        <v>46295</v>
      </c>
      <c r="F55" s="48">
        <v>1</v>
      </c>
      <c r="G55" s="88"/>
      <c r="H55" s="206"/>
      <c r="I55" s="78" t="s">
        <v>83</v>
      </c>
      <c r="J55" s="79">
        <v>27.2</v>
      </c>
      <c r="K55" s="80">
        <v>46280</v>
      </c>
      <c r="L55" s="81">
        <v>1</v>
      </c>
      <c r="M55" s="23"/>
      <c r="N55" s="114"/>
      <c r="O55" s="114"/>
      <c r="P55" s="114"/>
    </row>
    <row r="56" spans="1:16" ht="15.6" x14ac:dyDescent="0.3">
      <c r="A56" s="23"/>
      <c r="B56" s="198"/>
      <c r="C56" s="112" t="s">
        <v>80</v>
      </c>
      <c r="D56" s="46">
        <v>200</v>
      </c>
      <c r="E56" s="84">
        <v>46295</v>
      </c>
      <c r="F56" s="48">
        <v>1</v>
      </c>
      <c r="G56" s="88"/>
      <c r="H56" s="206"/>
      <c r="I56" s="78" t="s">
        <v>84</v>
      </c>
      <c r="J56" s="79">
        <v>540.92999999999995</v>
      </c>
      <c r="K56" s="80">
        <v>46266</v>
      </c>
      <c r="L56" s="81">
        <v>1</v>
      </c>
      <c r="M56" s="23"/>
      <c r="N56" s="114"/>
      <c r="O56" s="114"/>
      <c r="P56" s="114"/>
    </row>
    <row r="57" spans="1:16" ht="15.6" x14ac:dyDescent="0.3">
      <c r="A57" s="23"/>
      <c r="B57" s="198"/>
      <c r="C57" s="112" t="s">
        <v>50</v>
      </c>
      <c r="D57" s="46">
        <v>300</v>
      </c>
      <c r="E57" s="84">
        <v>46295</v>
      </c>
      <c r="F57" s="48">
        <v>1</v>
      </c>
      <c r="G57" s="88"/>
      <c r="H57" s="206"/>
      <c r="I57" s="57" t="s">
        <v>85</v>
      </c>
      <c r="J57" s="58">
        <v>913.57</v>
      </c>
      <c r="K57" s="59">
        <v>46275</v>
      </c>
      <c r="L57" s="60">
        <v>1</v>
      </c>
      <c r="M57" s="23"/>
      <c r="N57" s="114"/>
      <c r="O57" s="114"/>
      <c r="P57" s="114"/>
    </row>
    <row r="58" spans="1:16" ht="15.6" x14ac:dyDescent="0.3">
      <c r="A58" s="23"/>
      <c r="B58" s="198"/>
      <c r="C58" s="112"/>
      <c r="D58" s="46"/>
      <c r="E58" s="84"/>
      <c r="F58" s="48"/>
      <c r="G58" s="88"/>
      <c r="H58" s="206"/>
      <c r="I58" s="57" t="s">
        <v>86</v>
      </c>
      <c r="J58" s="58">
        <v>540.92999999999995</v>
      </c>
      <c r="K58" s="59">
        <v>46295</v>
      </c>
      <c r="L58" s="60">
        <v>1</v>
      </c>
      <c r="M58" s="23"/>
      <c r="N58" s="114"/>
      <c r="O58" s="114"/>
      <c r="P58" s="114"/>
    </row>
    <row r="59" spans="1:16" ht="15.6" x14ac:dyDescent="0.3">
      <c r="A59" s="23"/>
      <c r="B59" s="198"/>
      <c r="C59" s="112"/>
      <c r="D59" s="46"/>
      <c r="E59" s="84"/>
      <c r="F59" s="48"/>
      <c r="G59" s="88"/>
      <c r="H59" s="207"/>
      <c r="I59" s="72"/>
      <c r="J59" s="73"/>
      <c r="K59" s="74"/>
      <c r="L59" s="75"/>
      <c r="M59" s="23"/>
      <c r="N59" s="114"/>
      <c r="O59" s="114"/>
      <c r="P59" s="114"/>
    </row>
    <row r="60" spans="1:16" ht="15.6" x14ac:dyDescent="0.3">
      <c r="A60" s="23"/>
      <c r="B60" s="199"/>
      <c r="C60" s="133"/>
      <c r="D60" s="107"/>
      <c r="E60" s="108"/>
      <c r="F60" s="134"/>
      <c r="G60" s="88"/>
      <c r="H60" s="195" t="s">
        <v>31</v>
      </c>
      <c r="I60" s="100" t="s">
        <v>87</v>
      </c>
      <c r="J60" s="101">
        <v>481</v>
      </c>
      <c r="K60" s="102">
        <v>46266</v>
      </c>
      <c r="L60" s="103">
        <v>1</v>
      </c>
      <c r="M60" s="23"/>
      <c r="N60" s="114"/>
      <c r="O60" s="114"/>
      <c r="P60" s="114"/>
    </row>
    <row r="61" spans="1:16" ht="16.2" customHeight="1" thickBot="1" x14ac:dyDescent="0.35">
      <c r="A61" s="23"/>
      <c r="B61" s="208" t="s">
        <v>88</v>
      </c>
      <c r="C61" s="209"/>
      <c r="D61" s="135">
        <f>SUM(D29:D60)</f>
        <v>38671.839999999997</v>
      </c>
      <c r="E61" s="136"/>
      <c r="F61" s="137"/>
      <c r="G61" s="88"/>
      <c r="H61" s="196"/>
      <c r="I61" s="78" t="s">
        <v>89</v>
      </c>
      <c r="J61" s="79">
        <v>529.52</v>
      </c>
      <c r="K61" s="80">
        <v>46272</v>
      </c>
      <c r="L61" s="81">
        <v>1</v>
      </c>
      <c r="M61" s="23"/>
      <c r="N61" s="114"/>
      <c r="O61" s="114"/>
      <c r="P61" s="114"/>
    </row>
    <row r="62" spans="1:16" ht="16.2" customHeight="1" thickTop="1" x14ac:dyDescent="0.3">
      <c r="A62" s="23"/>
      <c r="B62" s="210" t="s">
        <v>90</v>
      </c>
      <c r="C62" s="138"/>
      <c r="D62" s="36"/>
      <c r="E62" s="130"/>
      <c r="F62" s="38"/>
      <c r="G62" s="88"/>
      <c r="H62" s="196"/>
      <c r="I62" s="78" t="s">
        <v>91</v>
      </c>
      <c r="J62" s="79">
        <v>456.08</v>
      </c>
      <c r="K62" s="80">
        <v>46281</v>
      </c>
      <c r="L62" s="81">
        <v>1</v>
      </c>
      <c r="M62" s="23"/>
      <c r="N62" s="114"/>
      <c r="O62" s="114"/>
      <c r="P62" s="114"/>
    </row>
    <row r="63" spans="1:16" ht="15.6" x14ac:dyDescent="0.3">
      <c r="A63" s="23"/>
      <c r="B63" s="211"/>
      <c r="C63" s="83"/>
      <c r="D63" s="46"/>
      <c r="E63" s="84"/>
      <c r="F63" s="48"/>
      <c r="G63" s="88"/>
      <c r="H63" s="196"/>
      <c r="I63" s="78" t="s">
        <v>92</v>
      </c>
      <c r="J63" s="79">
        <v>37.35</v>
      </c>
      <c r="K63" s="80">
        <v>46267</v>
      </c>
      <c r="L63" s="81">
        <v>1</v>
      </c>
      <c r="M63" s="23"/>
      <c r="N63" s="114"/>
      <c r="O63" s="114"/>
      <c r="P63" s="114"/>
    </row>
    <row r="64" spans="1:16" ht="15.6" x14ac:dyDescent="0.3">
      <c r="A64" s="23"/>
      <c r="B64" s="211"/>
      <c r="C64" s="83"/>
      <c r="D64" s="46"/>
      <c r="E64" s="84"/>
      <c r="F64" s="48"/>
      <c r="G64" s="88"/>
      <c r="H64" s="196"/>
      <c r="I64" s="57" t="s">
        <v>89</v>
      </c>
      <c r="J64" s="58">
        <v>548.61</v>
      </c>
      <c r="K64" s="59">
        <v>46281</v>
      </c>
      <c r="L64" s="60">
        <v>1</v>
      </c>
      <c r="M64" s="23"/>
      <c r="N64" s="114"/>
      <c r="O64" s="114"/>
      <c r="P64" s="114"/>
    </row>
    <row r="65" spans="1:16" ht="15.6" x14ac:dyDescent="0.3">
      <c r="A65" s="23"/>
      <c r="B65" s="212"/>
      <c r="C65" s="89"/>
      <c r="D65" s="139"/>
      <c r="E65" s="140"/>
      <c r="F65" s="141"/>
      <c r="G65" s="88"/>
      <c r="H65" s="196"/>
      <c r="I65" s="57"/>
      <c r="J65" s="58"/>
      <c r="K65" s="59"/>
      <c r="L65" s="60"/>
      <c r="M65" s="23"/>
      <c r="N65" s="114"/>
      <c r="O65" s="114"/>
      <c r="P65" s="114"/>
    </row>
    <row r="66" spans="1:16" ht="15.6" x14ac:dyDescent="0.3">
      <c r="A66" s="23"/>
      <c r="B66" s="213" t="s">
        <v>22</v>
      </c>
      <c r="C66" s="142"/>
      <c r="D66" s="143"/>
      <c r="E66" s="144"/>
      <c r="F66" s="145"/>
      <c r="G66" s="88"/>
      <c r="H66" s="200"/>
      <c r="I66" s="72"/>
      <c r="J66" s="73"/>
      <c r="K66" s="74"/>
      <c r="L66" s="75"/>
      <c r="M66" s="23"/>
      <c r="N66" s="114"/>
      <c r="O66" s="114"/>
      <c r="P66" s="114"/>
    </row>
    <row r="67" spans="1:16" ht="15.6" x14ac:dyDescent="0.3">
      <c r="A67" s="23"/>
      <c r="B67" s="214"/>
      <c r="C67" s="83"/>
      <c r="D67" s="46"/>
      <c r="E67" s="84"/>
      <c r="F67" s="48"/>
      <c r="G67" s="88"/>
      <c r="H67" s="190" t="s">
        <v>126</v>
      </c>
      <c r="I67" s="100" t="s">
        <v>93</v>
      </c>
      <c r="J67" s="101">
        <v>392.15</v>
      </c>
      <c r="K67" s="102">
        <v>46272</v>
      </c>
      <c r="L67" s="103">
        <v>1</v>
      </c>
      <c r="M67" s="23"/>
      <c r="N67" s="114"/>
      <c r="O67" s="114"/>
      <c r="P67" s="114"/>
    </row>
    <row r="68" spans="1:16" ht="15.6" x14ac:dyDescent="0.3">
      <c r="A68" s="23"/>
      <c r="B68" s="214"/>
      <c r="C68" s="83"/>
      <c r="D68" s="46"/>
      <c r="E68" s="84"/>
      <c r="F68" s="48"/>
      <c r="G68" s="88"/>
      <c r="H68" s="191"/>
      <c r="I68" s="78" t="s">
        <v>93</v>
      </c>
      <c r="J68" s="79">
        <v>151.18</v>
      </c>
      <c r="K68" s="80">
        <v>46273</v>
      </c>
      <c r="L68" s="81">
        <v>1</v>
      </c>
      <c r="M68" s="23"/>
      <c r="N68" s="114"/>
      <c r="O68" s="114"/>
      <c r="P68" s="114"/>
    </row>
    <row r="69" spans="1:16" ht="15.6" x14ac:dyDescent="0.3">
      <c r="A69" s="23"/>
      <c r="B69" s="215"/>
      <c r="C69" s="89"/>
      <c r="D69" s="139"/>
      <c r="E69" s="140"/>
      <c r="F69" s="141"/>
      <c r="G69" s="88"/>
      <c r="H69" s="191"/>
      <c r="I69" s="78" t="s">
        <v>93</v>
      </c>
      <c r="J69" s="79">
        <v>5.47</v>
      </c>
      <c r="K69" s="80">
        <v>46273</v>
      </c>
      <c r="L69" s="81">
        <v>1</v>
      </c>
      <c r="M69" s="23"/>
      <c r="N69" s="114"/>
      <c r="O69" s="114"/>
      <c r="P69" s="114"/>
    </row>
    <row r="70" spans="1:16" ht="15.6" x14ac:dyDescent="0.3">
      <c r="A70" s="23"/>
      <c r="B70" s="193" t="s">
        <v>94</v>
      </c>
      <c r="C70" s="138"/>
      <c r="D70" s="36"/>
      <c r="E70" s="130"/>
      <c r="F70" s="38"/>
      <c r="G70" s="88"/>
      <c r="H70" s="191"/>
      <c r="I70" s="78" t="s">
        <v>95</v>
      </c>
      <c r="J70" s="79">
        <v>190.8</v>
      </c>
      <c r="K70" s="80">
        <v>46274</v>
      </c>
      <c r="L70" s="81">
        <v>1</v>
      </c>
      <c r="M70" s="23"/>
      <c r="N70" s="114"/>
      <c r="O70" s="114"/>
      <c r="P70" s="114"/>
    </row>
    <row r="71" spans="1:16" ht="15.6" x14ac:dyDescent="0.3">
      <c r="A71" s="23"/>
      <c r="B71" s="193"/>
      <c r="C71" s="138"/>
      <c r="D71" s="36"/>
      <c r="E71" s="130"/>
      <c r="F71" s="38"/>
      <c r="G71" s="88"/>
      <c r="H71" s="191"/>
      <c r="I71" s="57" t="s">
        <v>93</v>
      </c>
      <c r="J71" s="58">
        <v>124.98</v>
      </c>
      <c r="K71" s="59">
        <v>46287</v>
      </c>
      <c r="L71" s="60">
        <v>1</v>
      </c>
      <c r="M71" s="23"/>
      <c r="N71" s="114"/>
      <c r="O71" s="114"/>
      <c r="P71" s="114"/>
    </row>
    <row r="72" spans="1:16" ht="15.6" x14ac:dyDescent="0.3">
      <c r="A72" s="23"/>
      <c r="B72" s="193"/>
      <c r="C72" s="138"/>
      <c r="D72" s="36"/>
      <c r="E72" s="130"/>
      <c r="F72" s="38"/>
      <c r="G72" s="88"/>
      <c r="H72" s="191"/>
      <c r="I72" s="78" t="s">
        <v>96</v>
      </c>
      <c r="J72" s="79">
        <v>334.68</v>
      </c>
      <c r="K72" s="80">
        <v>46293</v>
      </c>
      <c r="L72" s="81">
        <v>1</v>
      </c>
      <c r="M72" s="23"/>
      <c r="N72" s="114"/>
      <c r="O72" s="114"/>
      <c r="P72" s="114"/>
    </row>
    <row r="73" spans="1:16" ht="15.6" x14ac:dyDescent="0.3">
      <c r="A73" s="23"/>
      <c r="B73" s="193"/>
      <c r="C73" s="138"/>
      <c r="D73" s="36"/>
      <c r="E73" s="130"/>
      <c r="F73" s="38"/>
      <c r="G73" s="88"/>
      <c r="H73" s="191"/>
      <c r="I73" s="78" t="s">
        <v>97</v>
      </c>
      <c r="J73" s="79">
        <v>72.36</v>
      </c>
      <c r="K73" s="80">
        <v>46294</v>
      </c>
      <c r="L73" s="81">
        <v>1</v>
      </c>
      <c r="M73" s="23"/>
      <c r="N73" s="114"/>
      <c r="O73" s="114"/>
      <c r="P73" s="114"/>
    </row>
    <row r="74" spans="1:16" ht="15.6" x14ac:dyDescent="0.3">
      <c r="A74" s="23"/>
      <c r="B74" s="193"/>
      <c r="C74" s="83"/>
      <c r="D74" s="46"/>
      <c r="E74" s="84"/>
      <c r="F74" s="48"/>
      <c r="G74" s="88"/>
      <c r="H74" s="191"/>
      <c r="I74" s="78" t="s">
        <v>98</v>
      </c>
      <c r="J74" s="79">
        <v>753.65</v>
      </c>
      <c r="K74" s="80">
        <v>46297</v>
      </c>
      <c r="L74" s="81">
        <v>1</v>
      </c>
      <c r="M74" s="23"/>
      <c r="N74" s="114"/>
      <c r="O74" s="114"/>
      <c r="P74" s="114"/>
    </row>
    <row r="75" spans="1:16" ht="15.6" x14ac:dyDescent="0.3">
      <c r="A75" s="23"/>
      <c r="B75" s="193"/>
      <c r="C75" s="83"/>
      <c r="D75" s="46"/>
      <c r="E75" s="84"/>
      <c r="F75" s="48"/>
      <c r="G75" s="88"/>
      <c r="H75" s="191"/>
      <c r="I75" s="78"/>
      <c r="J75" s="79"/>
      <c r="K75" s="80"/>
      <c r="L75" s="81"/>
      <c r="M75" s="23"/>
      <c r="N75" s="114"/>
      <c r="O75" s="114"/>
      <c r="P75" s="114"/>
    </row>
    <row r="76" spans="1:16" ht="15.6" x14ac:dyDescent="0.3">
      <c r="A76" s="23"/>
      <c r="B76" s="193"/>
      <c r="C76" s="83"/>
      <c r="D76" s="46"/>
      <c r="E76" s="84"/>
      <c r="F76" s="48"/>
      <c r="G76" s="88"/>
      <c r="H76" s="191"/>
      <c r="I76" s="78"/>
      <c r="J76" s="79"/>
      <c r="K76" s="80"/>
      <c r="L76" s="81"/>
      <c r="M76" s="23"/>
      <c r="N76" s="114"/>
      <c r="O76" s="114"/>
      <c r="P76" s="114"/>
    </row>
    <row r="77" spans="1:16" ht="15.6" x14ac:dyDescent="0.3">
      <c r="A77" s="23"/>
      <c r="B77" s="193"/>
      <c r="C77" s="83"/>
      <c r="D77" s="46"/>
      <c r="E77" s="84"/>
      <c r="F77" s="48"/>
      <c r="G77" s="88"/>
      <c r="H77" s="192"/>
      <c r="I77" s="72"/>
      <c r="J77" s="73"/>
      <c r="K77" s="74"/>
      <c r="L77" s="75"/>
      <c r="M77" s="23"/>
      <c r="N77" s="114"/>
      <c r="O77" s="114"/>
      <c r="P77" s="114"/>
    </row>
    <row r="78" spans="1:16" ht="15.6" x14ac:dyDescent="0.3">
      <c r="A78" s="23"/>
      <c r="B78" s="193"/>
      <c r="C78" s="83"/>
      <c r="D78" s="46"/>
      <c r="E78" s="84"/>
      <c r="F78" s="48"/>
      <c r="G78" s="88"/>
      <c r="H78" s="195" t="s">
        <v>127</v>
      </c>
      <c r="I78" s="78" t="s">
        <v>99</v>
      </c>
      <c r="J78" s="79">
        <v>70</v>
      </c>
      <c r="K78" s="80">
        <v>46279</v>
      </c>
      <c r="L78" s="81">
        <v>1</v>
      </c>
      <c r="M78" s="23"/>
      <c r="N78" s="114"/>
      <c r="O78" s="114"/>
      <c r="P78" s="114"/>
    </row>
    <row r="79" spans="1:16" ht="15.6" x14ac:dyDescent="0.3">
      <c r="A79" s="23"/>
      <c r="B79" s="193"/>
      <c r="C79" s="83"/>
      <c r="D79" s="46"/>
      <c r="E79" s="46"/>
      <c r="F79" s="48"/>
      <c r="G79" s="88"/>
      <c r="H79" s="196"/>
      <c r="I79" s="78" t="s">
        <v>100</v>
      </c>
      <c r="J79" s="79">
        <v>104.54</v>
      </c>
      <c r="K79" s="80">
        <v>46279</v>
      </c>
      <c r="L79" s="81">
        <v>1</v>
      </c>
      <c r="M79" s="23"/>
      <c r="N79" s="114"/>
      <c r="O79" s="114"/>
      <c r="P79" s="114"/>
    </row>
    <row r="80" spans="1:16" ht="15.6" x14ac:dyDescent="0.3">
      <c r="A80" s="23"/>
      <c r="B80" s="193"/>
      <c r="C80" s="83"/>
      <c r="D80" s="46"/>
      <c r="E80" s="46"/>
      <c r="F80" s="48"/>
      <c r="G80" s="88"/>
      <c r="H80" s="196"/>
      <c r="I80" s="57" t="s">
        <v>101</v>
      </c>
      <c r="J80" s="58">
        <v>60</v>
      </c>
      <c r="K80" s="59">
        <v>46286</v>
      </c>
      <c r="L80" s="60">
        <v>1</v>
      </c>
      <c r="M80" s="23"/>
      <c r="N80" s="114"/>
      <c r="O80" s="114"/>
      <c r="P80" s="114"/>
    </row>
    <row r="81" spans="1:16" ht="15.6" x14ac:dyDescent="0.3">
      <c r="A81" s="23"/>
      <c r="B81" s="193"/>
      <c r="C81" s="83"/>
      <c r="D81" s="46"/>
      <c r="E81" s="46"/>
      <c r="F81" s="48"/>
      <c r="G81" s="88"/>
      <c r="H81" s="196"/>
      <c r="I81" s="57"/>
      <c r="J81" s="58"/>
      <c r="K81" s="59"/>
      <c r="L81" s="60"/>
      <c r="M81" s="23"/>
      <c r="N81" s="114"/>
      <c r="O81" s="114"/>
      <c r="P81" s="114"/>
    </row>
    <row r="82" spans="1:16" ht="16.2" thickBot="1" x14ac:dyDescent="0.35">
      <c r="A82" s="23"/>
      <c r="B82" s="194"/>
      <c r="C82" s="83"/>
      <c r="D82" s="46"/>
      <c r="E82" s="46"/>
      <c r="F82" s="48"/>
      <c r="G82" s="88"/>
      <c r="H82" s="196"/>
      <c r="I82" s="57"/>
      <c r="J82" s="58"/>
      <c r="K82" s="59"/>
      <c r="L82" s="60"/>
      <c r="M82" s="23"/>
      <c r="N82" s="114"/>
      <c r="O82" s="114"/>
      <c r="P82" s="114"/>
    </row>
    <row r="83" spans="1:16" ht="3" customHeight="1" thickTop="1" x14ac:dyDescent="0.3">
      <c r="A83" s="88"/>
      <c r="B83" s="24"/>
      <c r="C83" s="24"/>
      <c r="D83" s="24"/>
      <c r="E83" s="24"/>
      <c r="F83" s="24"/>
      <c r="G83" s="23"/>
      <c r="H83" s="146"/>
      <c r="I83" s="146"/>
      <c r="J83" s="146"/>
      <c r="K83" s="146"/>
      <c r="L83" s="146"/>
      <c r="M83" s="23"/>
      <c r="N83" s="114"/>
      <c r="O83" s="114"/>
      <c r="P83" s="114"/>
    </row>
    <row r="84" spans="1:16" x14ac:dyDescent="0.3">
      <c r="A84" s="114"/>
      <c r="B84" s="147"/>
      <c r="C84" s="147"/>
      <c r="D84" s="147"/>
      <c r="E84" s="147"/>
      <c r="F84" s="147"/>
      <c r="G84" s="114"/>
      <c r="H84" s="147"/>
      <c r="I84" s="147"/>
      <c r="J84" s="114"/>
      <c r="K84" s="114"/>
      <c r="L84" s="114"/>
      <c r="M84" s="114"/>
      <c r="N84" s="114"/>
      <c r="O84" s="114"/>
      <c r="P84" s="114"/>
    </row>
    <row r="85" spans="1:16" ht="15.6" customHeight="1" x14ac:dyDescent="0.3"/>
    <row r="105" ht="3.6" customHeight="1" x14ac:dyDescent="0.3"/>
  </sheetData>
  <mergeCells count="23">
    <mergeCell ref="A1:P1"/>
    <mergeCell ref="B3:F3"/>
    <mergeCell ref="H3:L3"/>
    <mergeCell ref="N3:O3"/>
    <mergeCell ref="B5:B27"/>
    <mergeCell ref="H5:H13"/>
    <mergeCell ref="H14:H20"/>
    <mergeCell ref="H21:H28"/>
    <mergeCell ref="N26:O26"/>
    <mergeCell ref="B28:C28"/>
    <mergeCell ref="H67:H77"/>
    <mergeCell ref="B70:B82"/>
    <mergeCell ref="H78:H82"/>
    <mergeCell ref="B29:B60"/>
    <mergeCell ref="H29:H40"/>
    <mergeCell ref="H41:H45"/>
    <mergeCell ref="H46:L46"/>
    <mergeCell ref="H47:H52"/>
    <mergeCell ref="H53:H59"/>
    <mergeCell ref="H60:H66"/>
    <mergeCell ref="B61:C61"/>
    <mergeCell ref="B62:B65"/>
    <mergeCell ref="B66:B69"/>
  </mergeCells>
  <conditionalFormatting sqref="C5:F60 I5:L82 C62:F82">
    <cfRule type="expression" dxfId="1" priority="1">
      <formula>MOD(ROW(),2)=1</formula>
    </cfRule>
  </conditionalFormatting>
  <conditionalFormatting sqref="D61:F61">
    <cfRule type="expression" dxfId="0" priority="2">
      <formula>MOD(ROW(),2)=1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7651950-47CC-4194-9323-844D67E7E7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F5</xm:sqref>
        </x14:conditionalFormatting>
        <x14:conditionalFormatting xmlns:xm="http://schemas.microsoft.com/office/excel/2006/main">
          <x14:cfRule type="iconSet" priority="6" id="{8B65383D-4552-4AF6-BC6E-83DCE9A882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F21:F27</xm:sqref>
        </x14:conditionalFormatting>
        <x14:conditionalFormatting xmlns:xm="http://schemas.microsoft.com/office/excel/2006/main">
          <x14:cfRule type="iconSet" priority="3" id="{B8C5A62B-76C3-412E-9157-92FC66330D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F28:F40</xm:sqref>
        </x14:conditionalFormatting>
        <x14:conditionalFormatting xmlns:xm="http://schemas.microsoft.com/office/excel/2006/main">
          <x14:cfRule type="iconSet" priority="7" id="{0F330967-FFF7-430D-8332-5408B6D754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F41:F82</xm:sqref>
        </x14:conditionalFormatting>
        <x14:conditionalFormatting xmlns:xm="http://schemas.microsoft.com/office/excel/2006/main">
          <x14:cfRule type="iconSet" priority="5" id="{2E09DEB9-8DBE-4C31-A804-3ED92B8235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H14 H5 B29 F6:F20 B5</xm:sqref>
        </x14:conditionalFormatting>
        <x14:conditionalFormatting xmlns:xm="http://schemas.microsoft.com/office/excel/2006/main">
          <x14:cfRule type="iconSet" priority="8" id="{D9A56A09-8B53-4ABF-866B-E7847D7C30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L47:L82 L5:L45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EF19-C367-4613-9810-D79058F3E381}">
  <dimension ref="A1:S33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6" sqref="E6:F6"/>
    </sheetView>
  </sheetViews>
  <sheetFormatPr defaultRowHeight="14.4" x14ac:dyDescent="0.3"/>
  <cols>
    <col min="1" max="1" width="0.6640625" style="1" customWidth="1"/>
    <col min="2" max="2" width="11.109375" style="1" customWidth="1"/>
    <col min="3" max="3" width="14.21875" style="1" customWidth="1"/>
    <col min="4" max="4" width="20.109375" style="1" customWidth="1"/>
    <col min="5" max="6" width="11.21875" style="1" customWidth="1"/>
    <col min="7" max="7" width="0.88671875" style="1" customWidth="1"/>
    <col min="8" max="8" width="11.109375" style="1" customWidth="1"/>
    <col min="9" max="9" width="14.21875" style="1" customWidth="1"/>
    <col min="10" max="10" width="20.109375" style="1" customWidth="1"/>
    <col min="11" max="12" width="11.21875" style="1" customWidth="1"/>
    <col min="13" max="13" width="1" style="1" customWidth="1"/>
    <col min="14" max="14" width="11.109375" style="1" customWidth="1"/>
    <col min="15" max="15" width="14.21875" style="1" customWidth="1"/>
    <col min="16" max="16" width="20.109375" style="1" customWidth="1"/>
    <col min="17" max="18" width="11.21875" style="1" customWidth="1"/>
    <col min="19" max="19" width="0.88671875" style="1" customWidth="1"/>
    <col min="20" max="16384" width="8.88671875" style="1"/>
  </cols>
  <sheetData>
    <row r="1" spans="1:19" ht="5.4" customHeight="1" x14ac:dyDescent="0.3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spans="1:19" ht="15" thickBot="1" x14ac:dyDescent="0.35">
      <c r="A2" s="148"/>
      <c r="G2" s="148"/>
      <c r="J2" s="1" t="s">
        <v>133</v>
      </c>
      <c r="K2" s="2">
        <f>Table152[[#Totals],[RECEIVED]]+Table1363[[#Totals],[RECEIVED]]+Table1474[[#Totals],[RECEIVED]]</f>
        <v>22626.98</v>
      </c>
      <c r="M2" s="148"/>
      <c r="S2" s="148"/>
    </row>
    <row r="3" spans="1:19" ht="16.2" thickBot="1" x14ac:dyDescent="0.35">
      <c r="A3" s="148"/>
      <c r="B3" s="163" t="s">
        <v>134</v>
      </c>
      <c r="C3" s="164"/>
      <c r="D3" s="164"/>
      <c r="E3" s="164"/>
      <c r="F3" s="165"/>
      <c r="G3" s="148"/>
      <c r="J3" s="1" t="s">
        <v>135</v>
      </c>
      <c r="K3" s="2">
        <f>Table152[[#Totals],[PAID]]+Table1363[[#Totals],[PAID]]+Table1474[[#Totals],[PAID]]</f>
        <v>19510.48</v>
      </c>
      <c r="M3" s="148"/>
      <c r="O3" s="149" t="s">
        <v>136</v>
      </c>
      <c r="P3" s="150">
        <v>3420</v>
      </c>
      <c r="S3" s="148"/>
    </row>
    <row r="4" spans="1:19" ht="16.2" thickBot="1" x14ac:dyDescent="0.35">
      <c r="A4" s="148"/>
      <c r="B4" s="166" t="s">
        <v>137</v>
      </c>
      <c r="C4" s="167"/>
      <c r="D4" s="167"/>
      <c r="E4" s="167"/>
      <c r="F4" s="168"/>
      <c r="G4" s="148"/>
      <c r="J4" s="151" t="s">
        <v>138</v>
      </c>
      <c r="K4" s="152">
        <f>K2-K3</f>
        <v>3116.5</v>
      </c>
      <c r="M4" s="148"/>
      <c r="O4" s="153" t="s">
        <v>139</v>
      </c>
      <c r="P4" s="154">
        <f>-K4+P3</f>
        <v>303.5</v>
      </c>
      <c r="S4" s="148"/>
    </row>
    <row r="5" spans="1:19" ht="15" thickBot="1" x14ac:dyDescent="0.35">
      <c r="A5" s="148"/>
      <c r="G5" s="148"/>
      <c r="M5" s="148"/>
      <c r="S5" s="148"/>
    </row>
    <row r="6" spans="1:19" ht="16.2" thickBot="1" x14ac:dyDescent="0.35">
      <c r="A6" s="148"/>
      <c r="B6" s="159" t="s">
        <v>140</v>
      </c>
      <c r="C6" s="160"/>
      <c r="D6" s="155" t="s">
        <v>141</v>
      </c>
      <c r="E6" s="161">
        <f>Table152[[#Totals],[RECEIVED]]-Table152[[#Totals],[PAID]]</f>
        <v>2321.5299999999997</v>
      </c>
      <c r="F6" s="162"/>
      <c r="G6" s="148"/>
      <c r="H6" s="159" t="s">
        <v>142</v>
      </c>
      <c r="I6" s="160"/>
      <c r="J6" s="155" t="s">
        <v>141</v>
      </c>
      <c r="K6" s="169">
        <f>Table1363[[#Totals],[RECEIVED]]-Table1363[[#Totals],[PAID]]</f>
        <v>408.5</v>
      </c>
      <c r="L6" s="170"/>
      <c r="M6" s="148"/>
      <c r="N6" s="159" t="s">
        <v>143</v>
      </c>
      <c r="O6" s="160"/>
      <c r="P6" s="155" t="s">
        <v>141</v>
      </c>
      <c r="Q6" s="161">
        <f>Table1474[[#Totals],[RECEIVED]]-Table1474[[#Totals],[PAID]]</f>
        <v>386.46999999999935</v>
      </c>
      <c r="R6" s="162"/>
      <c r="S6" s="148"/>
    </row>
    <row r="7" spans="1:19" x14ac:dyDescent="0.3">
      <c r="A7" s="148"/>
      <c r="B7" s="1" t="s">
        <v>105</v>
      </c>
      <c r="C7" s="1" t="s">
        <v>144</v>
      </c>
      <c r="D7" s="1" t="s">
        <v>118</v>
      </c>
      <c r="E7" s="4" t="s">
        <v>145</v>
      </c>
      <c r="F7" s="1" t="s">
        <v>146</v>
      </c>
      <c r="G7" s="148"/>
      <c r="H7" s="1" t="s">
        <v>105</v>
      </c>
      <c r="I7" s="1" t="s">
        <v>144</v>
      </c>
      <c r="J7" s="1" t="s">
        <v>118</v>
      </c>
      <c r="K7" s="4" t="s">
        <v>145</v>
      </c>
      <c r="L7" s="1" t="s">
        <v>146</v>
      </c>
      <c r="M7" s="148"/>
      <c r="N7" s="1" t="s">
        <v>105</v>
      </c>
      <c r="O7" s="1" t="s">
        <v>144</v>
      </c>
      <c r="P7" s="1" t="s">
        <v>118</v>
      </c>
      <c r="Q7" s="4" t="s">
        <v>145</v>
      </c>
      <c r="R7" s="1" t="s">
        <v>146</v>
      </c>
      <c r="S7" s="148"/>
    </row>
    <row r="8" spans="1:19" x14ac:dyDescent="0.3">
      <c r="A8" s="148"/>
      <c r="B8" s="156">
        <v>46204</v>
      </c>
      <c r="C8" s="1" t="s">
        <v>147</v>
      </c>
      <c r="D8" s="1" t="s">
        <v>70</v>
      </c>
      <c r="E8" s="157"/>
      <c r="F8" s="157">
        <v>421.97</v>
      </c>
      <c r="G8" s="148"/>
      <c r="H8" s="156">
        <v>46240</v>
      </c>
      <c r="I8" s="1" t="s">
        <v>148</v>
      </c>
      <c r="J8" s="1" t="s">
        <v>149</v>
      </c>
      <c r="K8" s="158"/>
      <c r="L8" s="158">
        <v>800</v>
      </c>
      <c r="M8" s="148"/>
      <c r="N8" s="156">
        <v>46267</v>
      </c>
      <c r="O8" s="1" t="s">
        <v>148</v>
      </c>
      <c r="P8" s="1" t="s">
        <v>149</v>
      </c>
      <c r="Q8" s="157"/>
      <c r="R8" s="157">
        <v>800</v>
      </c>
      <c r="S8" s="148"/>
    </row>
    <row r="9" spans="1:19" x14ac:dyDescent="0.3">
      <c r="A9" s="148"/>
      <c r="B9" s="156">
        <v>46216</v>
      </c>
      <c r="C9" s="1" t="s">
        <v>150</v>
      </c>
      <c r="D9" s="1" t="s">
        <v>151</v>
      </c>
      <c r="E9" s="157"/>
      <c r="F9" s="157">
        <v>48.56</v>
      </c>
      <c r="G9" s="148"/>
      <c r="H9" s="156">
        <v>46235</v>
      </c>
      <c r="I9" s="1" t="s">
        <v>147</v>
      </c>
      <c r="J9" s="1" t="s">
        <v>70</v>
      </c>
      <c r="K9" s="158"/>
      <c r="L9" s="158">
        <v>409.33</v>
      </c>
      <c r="M9" s="148"/>
      <c r="N9" s="156">
        <v>46267</v>
      </c>
      <c r="O9" s="1" t="s">
        <v>147</v>
      </c>
      <c r="P9" s="1" t="s">
        <v>152</v>
      </c>
      <c r="Q9" s="157"/>
      <c r="R9" s="157">
        <v>497.16</v>
      </c>
      <c r="S9" s="148"/>
    </row>
    <row r="10" spans="1:19" x14ac:dyDescent="0.3">
      <c r="A10" s="148"/>
      <c r="B10" s="156">
        <v>46226</v>
      </c>
      <c r="C10" s="1" t="s">
        <v>153</v>
      </c>
      <c r="D10" s="1" t="s">
        <v>154</v>
      </c>
      <c r="E10" s="157"/>
      <c r="F10" s="157">
        <v>9.7799999999999994</v>
      </c>
      <c r="G10" s="148"/>
      <c r="H10" s="156">
        <v>46246</v>
      </c>
      <c r="I10" s="1" t="s">
        <v>148</v>
      </c>
      <c r="J10" s="1" t="s">
        <v>149</v>
      </c>
      <c r="K10" s="158"/>
      <c r="L10" s="158">
        <v>600</v>
      </c>
      <c r="M10" s="148"/>
      <c r="N10" s="156">
        <v>46271</v>
      </c>
      <c r="O10" s="1" t="s">
        <v>155</v>
      </c>
      <c r="P10" s="1" t="s">
        <v>156</v>
      </c>
      <c r="Q10" s="157"/>
      <c r="R10" s="157">
        <v>138.27000000000001</v>
      </c>
      <c r="S10" s="148"/>
    </row>
    <row r="11" spans="1:19" x14ac:dyDescent="0.3">
      <c r="A11" s="148"/>
      <c r="B11" s="156">
        <v>46227</v>
      </c>
      <c r="C11" s="1" t="s">
        <v>157</v>
      </c>
      <c r="D11" s="1" t="s">
        <v>158</v>
      </c>
      <c r="E11" s="157">
        <v>1995.17</v>
      </c>
      <c r="F11" s="157">
        <v>221.26</v>
      </c>
      <c r="G11" s="148"/>
      <c r="H11" s="156">
        <v>46258</v>
      </c>
      <c r="I11" s="1" t="s">
        <v>159</v>
      </c>
      <c r="J11" s="1" t="s">
        <v>154</v>
      </c>
      <c r="K11" s="158"/>
      <c r="L11" s="158">
        <v>6.67</v>
      </c>
      <c r="M11" s="148"/>
      <c r="N11" s="156">
        <v>46271</v>
      </c>
      <c r="O11" s="1" t="s">
        <v>155</v>
      </c>
      <c r="P11" s="1" t="s">
        <v>160</v>
      </c>
      <c r="Q11" s="157"/>
      <c r="R11" s="157">
        <v>65.36</v>
      </c>
      <c r="S11" s="148"/>
    </row>
    <row r="12" spans="1:19" x14ac:dyDescent="0.3">
      <c r="A12" s="148"/>
      <c r="B12" s="156">
        <v>46227</v>
      </c>
      <c r="C12" s="1" t="s">
        <v>157</v>
      </c>
      <c r="D12" s="1" t="s">
        <v>161</v>
      </c>
      <c r="E12" s="157">
        <v>1749.48</v>
      </c>
      <c r="F12" s="157">
        <v>208.44</v>
      </c>
      <c r="G12" s="148"/>
      <c r="H12" s="156">
        <v>46255</v>
      </c>
      <c r="I12" s="1" t="s">
        <v>157</v>
      </c>
      <c r="J12" s="1" t="s">
        <v>158</v>
      </c>
      <c r="K12" s="158">
        <v>1169.75</v>
      </c>
      <c r="L12" s="158">
        <v>219.15</v>
      </c>
      <c r="M12" s="148"/>
      <c r="N12" s="156">
        <v>46272</v>
      </c>
      <c r="O12" s="1" t="s">
        <v>155</v>
      </c>
      <c r="P12" s="1" t="s">
        <v>162</v>
      </c>
      <c r="Q12" s="157"/>
      <c r="R12" s="157">
        <v>25.2</v>
      </c>
      <c r="S12" s="148"/>
    </row>
    <row r="13" spans="1:19" x14ac:dyDescent="0.3">
      <c r="A13" s="148"/>
      <c r="B13" s="156">
        <v>46227</v>
      </c>
      <c r="C13" s="1" t="s">
        <v>157</v>
      </c>
      <c r="D13" s="1" t="s">
        <v>163</v>
      </c>
      <c r="E13" s="157">
        <v>649.98</v>
      </c>
      <c r="F13" s="157">
        <v>145.11000000000001</v>
      </c>
      <c r="G13" s="148"/>
      <c r="H13" s="156">
        <v>46255</v>
      </c>
      <c r="I13" s="1" t="s">
        <v>157</v>
      </c>
      <c r="J13" s="1" t="s">
        <v>161</v>
      </c>
      <c r="K13" s="158">
        <v>1981.93</v>
      </c>
      <c r="L13" s="158">
        <v>203.44</v>
      </c>
      <c r="M13" s="148"/>
      <c r="N13" s="156">
        <v>46273</v>
      </c>
      <c r="O13" s="1" t="s">
        <v>164</v>
      </c>
      <c r="P13" s="1" t="s">
        <v>165</v>
      </c>
      <c r="Q13" s="157"/>
      <c r="R13" s="157">
        <v>31.8</v>
      </c>
      <c r="S13" s="148"/>
    </row>
    <row r="14" spans="1:19" x14ac:dyDescent="0.3">
      <c r="A14" s="148"/>
      <c r="B14" s="156">
        <v>46227</v>
      </c>
      <c r="C14" s="1" t="s">
        <v>157</v>
      </c>
      <c r="D14" s="1" t="s">
        <v>166</v>
      </c>
      <c r="E14" s="157">
        <v>1302.3499999999999</v>
      </c>
      <c r="F14" s="157">
        <v>248.42</v>
      </c>
      <c r="G14" s="148"/>
      <c r="H14" s="156">
        <v>46255</v>
      </c>
      <c r="I14" s="1" t="s">
        <v>157</v>
      </c>
      <c r="J14" s="1" t="s">
        <v>163</v>
      </c>
      <c r="K14" s="157">
        <v>550.13</v>
      </c>
      <c r="L14" s="157">
        <v>145.11000000000001</v>
      </c>
      <c r="M14" s="148"/>
      <c r="N14" s="156">
        <v>46277</v>
      </c>
      <c r="O14" s="1" t="s">
        <v>167</v>
      </c>
      <c r="P14" s="1" t="s">
        <v>168</v>
      </c>
      <c r="Q14" s="157"/>
      <c r="R14" s="157">
        <v>3.49</v>
      </c>
      <c r="S14" s="148"/>
    </row>
    <row r="15" spans="1:19" x14ac:dyDescent="0.3">
      <c r="A15" s="148"/>
      <c r="B15" s="156">
        <v>46227</v>
      </c>
      <c r="C15" s="1" t="s">
        <v>157</v>
      </c>
      <c r="D15" s="1" t="s">
        <v>169</v>
      </c>
      <c r="E15" s="157">
        <v>1072.19</v>
      </c>
      <c r="F15" s="157">
        <v>238.4</v>
      </c>
      <c r="G15" s="148"/>
      <c r="H15" s="156">
        <v>46255</v>
      </c>
      <c r="I15" s="1" t="s">
        <v>157</v>
      </c>
      <c r="J15" s="1" t="s">
        <v>166</v>
      </c>
      <c r="K15" s="158">
        <v>998.61</v>
      </c>
      <c r="L15" s="158">
        <v>243.42</v>
      </c>
      <c r="M15" s="148"/>
      <c r="N15" s="156">
        <v>46277</v>
      </c>
      <c r="O15" s="1" t="s">
        <v>170</v>
      </c>
      <c r="P15" s="1" t="s">
        <v>171</v>
      </c>
      <c r="Q15" s="157"/>
      <c r="R15" s="157">
        <v>17.420000000000002</v>
      </c>
      <c r="S15" s="148"/>
    </row>
    <row r="16" spans="1:19" x14ac:dyDescent="0.3">
      <c r="A16" s="148"/>
      <c r="B16" s="156">
        <v>46227</v>
      </c>
      <c r="C16" s="1" t="s">
        <v>157</v>
      </c>
      <c r="D16" s="1" t="s">
        <v>172</v>
      </c>
      <c r="E16" s="157">
        <v>1326.76</v>
      </c>
      <c r="F16" s="157">
        <v>3</v>
      </c>
      <c r="G16" s="148"/>
      <c r="H16" s="156">
        <v>46255</v>
      </c>
      <c r="I16" s="1" t="s">
        <v>157</v>
      </c>
      <c r="J16" s="1" t="s">
        <v>169</v>
      </c>
      <c r="K16" s="158">
        <v>1014.03</v>
      </c>
      <c r="L16" s="158">
        <v>230.5</v>
      </c>
      <c r="M16" s="148"/>
      <c r="N16" s="156">
        <v>46279</v>
      </c>
      <c r="O16" s="1" t="s">
        <v>150</v>
      </c>
      <c r="P16" s="1" t="s">
        <v>173</v>
      </c>
      <c r="Q16" s="157"/>
      <c r="R16" s="157">
        <v>29.44</v>
      </c>
      <c r="S16" s="148"/>
    </row>
    <row r="17" spans="1:19" x14ac:dyDescent="0.3">
      <c r="A17" s="148"/>
      <c r="B17" s="156"/>
      <c r="C17" s="1" t="s">
        <v>174</v>
      </c>
      <c r="D17" s="1" t="s">
        <v>175</v>
      </c>
      <c r="E17" s="157"/>
      <c r="F17" s="157">
        <v>10</v>
      </c>
      <c r="G17" s="148"/>
      <c r="H17" s="156">
        <v>46255</v>
      </c>
      <c r="I17" s="1" t="s">
        <v>157</v>
      </c>
      <c r="J17" s="1" t="s">
        <v>172</v>
      </c>
      <c r="K17" s="158">
        <v>1749.36</v>
      </c>
      <c r="L17" s="158">
        <v>3</v>
      </c>
      <c r="M17" s="148"/>
      <c r="N17" s="156">
        <v>46283</v>
      </c>
      <c r="O17" s="1" t="s">
        <v>157</v>
      </c>
      <c r="P17" s="1" t="s">
        <v>158</v>
      </c>
      <c r="Q17" s="157">
        <v>523.1</v>
      </c>
      <c r="R17" s="157">
        <v>210.48</v>
      </c>
      <c r="S17" s="148"/>
    </row>
    <row r="18" spans="1:19" x14ac:dyDescent="0.3">
      <c r="A18" s="148"/>
      <c r="B18" s="156">
        <v>46205</v>
      </c>
      <c r="C18" s="1" t="s">
        <v>148</v>
      </c>
      <c r="D18" s="1" t="s">
        <v>149</v>
      </c>
      <c r="E18" s="157"/>
      <c r="F18" s="157">
        <v>600</v>
      </c>
      <c r="G18" s="148"/>
      <c r="H18" s="156">
        <v>46261</v>
      </c>
      <c r="I18" s="1" t="s">
        <v>176</v>
      </c>
      <c r="J18" s="1" t="s">
        <v>177</v>
      </c>
      <c r="K18" s="158"/>
      <c r="L18" s="158">
        <v>9.33</v>
      </c>
      <c r="M18" s="148"/>
      <c r="N18" s="156">
        <v>46283</v>
      </c>
      <c r="O18" s="1" t="s">
        <v>157</v>
      </c>
      <c r="P18" s="1" t="s">
        <v>161</v>
      </c>
      <c r="Q18" s="157">
        <v>2629.67</v>
      </c>
      <c r="R18" s="157">
        <v>204.15</v>
      </c>
      <c r="S18" s="148"/>
    </row>
    <row r="19" spans="1:19" x14ac:dyDescent="0.3">
      <c r="A19" s="148"/>
      <c r="B19" s="156">
        <v>46227</v>
      </c>
      <c r="C19" s="1" t="s">
        <v>148</v>
      </c>
      <c r="D19" s="1" t="s">
        <v>149</v>
      </c>
      <c r="E19" s="157"/>
      <c r="F19" s="157">
        <v>3615.61</v>
      </c>
      <c r="G19" s="148"/>
      <c r="H19" s="156">
        <v>46248</v>
      </c>
      <c r="I19" s="1" t="s">
        <v>176</v>
      </c>
      <c r="J19" s="1" t="s">
        <v>178</v>
      </c>
      <c r="K19" s="158"/>
      <c r="L19" s="158">
        <v>1.83</v>
      </c>
      <c r="M19" s="148"/>
      <c r="N19" s="156">
        <v>46283</v>
      </c>
      <c r="O19" s="1" t="s">
        <v>148</v>
      </c>
      <c r="P19" s="1" t="s">
        <v>149</v>
      </c>
      <c r="Q19" s="157"/>
      <c r="R19" s="157">
        <v>3942.55</v>
      </c>
      <c r="S19" s="148"/>
    </row>
    <row r="20" spans="1:19" x14ac:dyDescent="0.3">
      <c r="A20" s="148"/>
      <c r="B20" s="156">
        <v>46204</v>
      </c>
      <c r="C20" s="1" t="s">
        <v>179</v>
      </c>
      <c r="D20" s="1" t="s">
        <v>154</v>
      </c>
      <c r="E20" s="157"/>
      <c r="F20" s="157">
        <v>3.85</v>
      </c>
      <c r="G20" s="148"/>
      <c r="H20" s="156">
        <v>46239</v>
      </c>
      <c r="I20" s="1" t="s">
        <v>176</v>
      </c>
      <c r="J20" s="1" t="s">
        <v>180</v>
      </c>
      <c r="K20" s="158"/>
      <c r="L20" s="158">
        <v>3.83</v>
      </c>
      <c r="M20" s="148"/>
      <c r="N20" s="156">
        <v>46286</v>
      </c>
      <c r="O20" s="1" t="s">
        <v>155</v>
      </c>
      <c r="P20" s="1" t="s">
        <v>181</v>
      </c>
      <c r="Q20" s="157"/>
      <c r="R20" s="157">
        <v>20.83</v>
      </c>
      <c r="S20" s="148"/>
    </row>
    <row r="21" spans="1:19" x14ac:dyDescent="0.3">
      <c r="A21" s="148"/>
      <c r="B21" s="156"/>
      <c r="E21" s="157"/>
      <c r="F21" s="157"/>
      <c r="G21" s="148"/>
      <c r="H21" s="156">
        <v>46238</v>
      </c>
      <c r="I21" s="1" t="s">
        <v>176</v>
      </c>
      <c r="J21" s="1" t="s">
        <v>182</v>
      </c>
      <c r="K21" s="157"/>
      <c r="L21" s="157">
        <v>2.5</v>
      </c>
      <c r="M21" s="148"/>
      <c r="N21" s="156">
        <v>46283</v>
      </c>
      <c r="O21" s="1" t="s">
        <v>157</v>
      </c>
      <c r="P21" s="1" t="s">
        <v>163</v>
      </c>
      <c r="Q21" s="157">
        <v>392.56</v>
      </c>
      <c r="R21" s="157">
        <v>145.11000000000001</v>
      </c>
      <c r="S21" s="148"/>
    </row>
    <row r="22" spans="1:19" x14ac:dyDescent="0.3">
      <c r="A22" s="148"/>
      <c r="B22" s="156"/>
      <c r="E22" s="157"/>
      <c r="F22" s="157"/>
      <c r="G22" s="148"/>
      <c r="H22" s="156">
        <v>46236</v>
      </c>
      <c r="I22" s="1" t="s">
        <v>176</v>
      </c>
      <c r="J22" s="1" t="s">
        <v>183</v>
      </c>
      <c r="K22" s="157"/>
      <c r="L22" s="157">
        <v>3.33</v>
      </c>
      <c r="M22" s="148"/>
      <c r="N22" s="156">
        <v>46283</v>
      </c>
      <c r="O22" s="1" t="s">
        <v>157</v>
      </c>
      <c r="P22" s="1" t="s">
        <v>166</v>
      </c>
      <c r="Q22" s="157">
        <v>1156.31</v>
      </c>
      <c r="R22" s="157">
        <v>244.13</v>
      </c>
      <c r="S22" s="148"/>
    </row>
    <row r="23" spans="1:19" x14ac:dyDescent="0.3">
      <c r="A23" s="148"/>
      <c r="B23" s="156"/>
      <c r="E23" s="157"/>
      <c r="F23" s="157"/>
      <c r="G23" s="148"/>
      <c r="H23" s="156">
        <v>46260</v>
      </c>
      <c r="I23" s="1" t="s">
        <v>184</v>
      </c>
      <c r="J23" s="1" t="s">
        <v>185</v>
      </c>
      <c r="K23" s="157"/>
      <c r="L23" s="157">
        <v>6.44</v>
      </c>
      <c r="M23" s="148"/>
      <c r="N23" s="156">
        <v>46283</v>
      </c>
      <c r="O23" s="1" t="s">
        <v>157</v>
      </c>
      <c r="P23" s="1" t="s">
        <v>169</v>
      </c>
      <c r="Q23" s="157">
        <v>1005.02</v>
      </c>
      <c r="R23" s="157">
        <v>231.21</v>
      </c>
      <c r="S23" s="148"/>
    </row>
    <row r="24" spans="1:19" x14ac:dyDescent="0.3">
      <c r="A24" s="148"/>
      <c r="B24" s="156"/>
      <c r="E24" s="157"/>
      <c r="F24" s="157"/>
      <c r="G24" s="148"/>
      <c r="H24" s="156">
        <v>46247</v>
      </c>
      <c r="I24" s="1" t="s">
        <v>184</v>
      </c>
      <c r="J24" s="1" t="s">
        <v>186</v>
      </c>
      <c r="K24" s="157"/>
      <c r="L24" s="157">
        <v>4.3099999999999996</v>
      </c>
      <c r="M24" s="148"/>
      <c r="N24" s="156">
        <v>46283</v>
      </c>
      <c r="O24" s="1" t="s">
        <v>157</v>
      </c>
      <c r="P24" s="1" t="s">
        <v>172</v>
      </c>
      <c r="Q24" s="157">
        <v>1360.58</v>
      </c>
      <c r="R24" s="157">
        <v>3</v>
      </c>
      <c r="S24" s="148"/>
    </row>
    <row r="25" spans="1:19" x14ac:dyDescent="0.3">
      <c r="A25" s="148"/>
      <c r="B25" s="156"/>
      <c r="E25" s="157"/>
      <c r="F25" s="157"/>
      <c r="G25" s="148"/>
      <c r="H25" s="156">
        <v>46255</v>
      </c>
      <c r="I25" s="1" t="s">
        <v>148</v>
      </c>
      <c r="J25" s="1" t="s">
        <v>149</v>
      </c>
      <c r="K25" s="157"/>
      <c r="L25" s="157">
        <v>4119.79</v>
      </c>
      <c r="M25" s="148"/>
      <c r="N25" s="156">
        <v>46292</v>
      </c>
      <c r="O25" s="1" t="s">
        <v>187</v>
      </c>
      <c r="P25" s="1" t="s">
        <v>154</v>
      </c>
      <c r="Q25" s="157"/>
      <c r="R25" s="157">
        <v>3.33</v>
      </c>
      <c r="S25" s="148"/>
    </row>
    <row r="26" spans="1:19" x14ac:dyDescent="0.3">
      <c r="A26" s="148"/>
      <c r="B26" s="156"/>
      <c r="E26" s="157"/>
      <c r="F26" s="157"/>
      <c r="G26" s="148"/>
      <c r="H26" s="156">
        <v>46246</v>
      </c>
      <c r="I26" s="1" t="s">
        <v>184</v>
      </c>
      <c r="J26" s="1" t="s">
        <v>188</v>
      </c>
      <c r="K26" s="157"/>
      <c r="L26" s="157">
        <v>43.33</v>
      </c>
      <c r="M26" s="148"/>
      <c r="N26" s="156">
        <v>46293</v>
      </c>
      <c r="O26" s="1" t="s">
        <v>189</v>
      </c>
      <c r="P26" s="1" t="s">
        <v>190</v>
      </c>
      <c r="Q26" s="157"/>
      <c r="R26" s="157">
        <v>12.06</v>
      </c>
      <c r="S26" s="148"/>
    </row>
    <row r="27" spans="1:19" x14ac:dyDescent="0.3">
      <c r="A27" s="148"/>
      <c r="B27" s="156"/>
      <c r="E27" s="157"/>
      <c r="F27" s="157"/>
      <c r="G27" s="148"/>
      <c r="H27" s="156"/>
      <c r="K27" s="157"/>
      <c r="L27" s="157"/>
      <c r="M27" s="148"/>
      <c r="N27" s="156">
        <v>46291</v>
      </c>
      <c r="O27" s="1" t="s">
        <v>191</v>
      </c>
      <c r="P27" s="1" t="s">
        <v>160</v>
      </c>
      <c r="Q27" s="157"/>
      <c r="R27" s="157">
        <v>55.78</v>
      </c>
      <c r="S27" s="148"/>
    </row>
    <row r="28" spans="1:19" x14ac:dyDescent="0.3">
      <c r="A28" s="148"/>
      <c r="B28" s="156"/>
      <c r="E28" s="157"/>
      <c r="F28" s="157"/>
      <c r="G28" s="148"/>
      <c r="H28" s="156"/>
      <c r="K28" s="157"/>
      <c r="L28" s="157"/>
      <c r="M28" s="148"/>
      <c r="N28" s="156"/>
      <c r="Q28" s="157"/>
      <c r="R28" s="157"/>
      <c r="S28" s="148"/>
    </row>
    <row r="29" spans="1:19" x14ac:dyDescent="0.3">
      <c r="A29" s="148"/>
      <c r="B29" s="156"/>
      <c r="E29" s="157"/>
      <c r="F29" s="157"/>
      <c r="G29" s="148"/>
      <c r="H29" s="156"/>
      <c r="K29" s="157"/>
      <c r="L29" s="157"/>
      <c r="M29" s="148"/>
      <c r="N29" s="156"/>
      <c r="Q29" s="157"/>
      <c r="R29" s="157"/>
      <c r="S29" s="148"/>
    </row>
    <row r="30" spans="1:19" x14ac:dyDescent="0.3">
      <c r="A30" s="148"/>
      <c r="B30" s="156"/>
      <c r="E30" s="157"/>
      <c r="F30" s="157"/>
      <c r="G30" s="148"/>
      <c r="H30" s="156"/>
      <c r="K30" s="157"/>
      <c r="L30" s="157"/>
      <c r="M30" s="148"/>
      <c r="N30" s="156"/>
      <c r="Q30" s="157"/>
      <c r="R30" s="157"/>
      <c r="S30" s="148"/>
    </row>
    <row r="31" spans="1:19" x14ac:dyDescent="0.3">
      <c r="A31" s="148"/>
      <c r="B31" s="156"/>
      <c r="E31" s="157"/>
      <c r="F31" s="157"/>
      <c r="G31" s="148"/>
      <c r="H31" s="156"/>
      <c r="K31" s="157"/>
      <c r="L31" s="157"/>
      <c r="M31" s="148"/>
      <c r="N31" s="156"/>
      <c r="Q31" s="157"/>
      <c r="R31" s="157"/>
      <c r="S31" s="148"/>
    </row>
    <row r="32" spans="1:19" x14ac:dyDescent="0.3">
      <c r="A32" s="148"/>
      <c r="B32" s="156"/>
      <c r="E32" s="157"/>
      <c r="F32" s="157"/>
      <c r="G32" s="148"/>
      <c r="H32" s="156"/>
      <c r="K32" s="157"/>
      <c r="L32" s="157"/>
      <c r="M32" s="148"/>
      <c r="N32" s="156"/>
      <c r="Q32" s="157"/>
      <c r="R32" s="157"/>
      <c r="S32" s="148"/>
    </row>
    <row r="33" spans="1:19" x14ac:dyDescent="0.3">
      <c r="A33" s="148"/>
      <c r="E33" s="157">
        <f>SUM(E8:E32)</f>
        <v>8095.93</v>
      </c>
      <c r="F33" s="157">
        <f>SUM(F8:F32)</f>
        <v>5774.4000000000005</v>
      </c>
      <c r="G33" s="148"/>
      <c r="H33" s="156"/>
      <c r="K33" s="157">
        <f>SUM(K8:K32)</f>
        <v>7463.8099999999995</v>
      </c>
      <c r="L33" s="157">
        <f>SUM(L8:L32)</f>
        <v>7055.3099999999995</v>
      </c>
      <c r="M33" s="148"/>
      <c r="N33" s="156"/>
      <c r="Q33" s="157">
        <f>SUM(Q8:Q32)</f>
        <v>7067.24</v>
      </c>
      <c r="R33" s="157">
        <f>SUM(R8:R32)</f>
        <v>6680.77</v>
      </c>
      <c r="S33" s="148"/>
    </row>
  </sheetData>
  <mergeCells count="8">
    <mergeCell ref="N6:O6"/>
    <mergeCell ref="Q6:R6"/>
    <mergeCell ref="B3:F3"/>
    <mergeCell ref="B4:F4"/>
    <mergeCell ref="B6:C6"/>
    <mergeCell ref="E6:F6"/>
    <mergeCell ref="H6:I6"/>
    <mergeCell ref="K6:L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NOVEMBER-26 (2)</vt:lpstr>
      <vt:lpstr>SETEMBRO-26</vt:lpstr>
      <vt:lpstr>01-07-26 TO 30-09-26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Augusto Conte Herrig</dc:creator>
  <cp:lastModifiedBy>Reinaldo Augusto Conte Herrig</cp:lastModifiedBy>
  <dcterms:created xsi:type="dcterms:W3CDTF">2026-10-27T21:14:08Z</dcterms:created>
  <dcterms:modified xsi:type="dcterms:W3CDTF">2026-10-27T22:43:22Z</dcterms:modified>
</cp:coreProperties>
</file>